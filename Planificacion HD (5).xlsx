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ost Estival" sheetId="1" r:id="rId5"/>
    <sheet state="visible" name="Mapeo de flota" sheetId="2" r:id="rId6"/>
    <sheet state="visible" name="Flota actual VS" sheetId="3" r:id="rId7"/>
    <sheet state="visible" name="Check FLE" sheetId="4" r:id="rId8"/>
    <sheet state="visible" name="Revision RS" sheetId="5" r:id="rId9"/>
    <sheet state="hidden" name="Horarios IH" sheetId="6" r:id="rId10"/>
    <sheet state="visible" name="CItaciones FH" sheetId="7" r:id="rId11"/>
    <sheet state="visible" name="Copia de CItaciones FLD " sheetId="8" r:id="rId12"/>
    <sheet state="hidden" name="Hoja 27" sheetId="9" r:id="rId13"/>
    <sheet state="hidden" name="Telemetria" sheetId="10" r:id="rId14"/>
    <sheet state="hidden" name="Flota Cyber" sheetId="11" r:id="rId15"/>
  </sheets>
  <definedNames>
    <definedName hidden="1" localSheetId="0" name="_xlnm._FilterDatabase">'Post Estival'!$A$1:$F$1003</definedName>
    <definedName hidden="1" localSheetId="1" name="_xlnm._FilterDatabase">'Mapeo de flota'!$I$1:$I$929</definedName>
    <definedName hidden="1" localSheetId="2" name="_xlnm._FilterDatabase">'Flota actual VS'!$B$1:$E$132</definedName>
    <definedName hidden="1" localSheetId="6" name="_xlnm._FilterDatabase">'CItaciones FH'!$A$1:$AD$75</definedName>
    <definedName hidden="1" localSheetId="9" name="_xlnm._FilterDatabase">Telemetria!$A$1:$A$1003</definedName>
  </definedNames>
  <calcPr/>
  <pivotCaches>
    <pivotCache cacheId="0" r:id="rId1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tc={bb8bc534-93b6-47d4-a3de-8e3317c2a9fd}</author>
  </authors>
  <commentList>
    <comment authorId="0" xr:uid="{bb8bc534-93b6-47d4-a3de-8e3317c2a9fd}" ref="A1">
      <text>
        <t xml:space="preserve">[Threaded comment]
 Your version of Excel allows you to read this threaded comment; however, any edits to it will get removed if the file is opened in a newer version of Excel. Learn more: https://go.microsoft.com/fwlink/?linkid=870924
Comment:
	Por confirmar
</t>
      </text>
    </comment>
  </commentList>
</comments>
</file>

<file path=xl/sharedStrings.xml><?xml version="1.0" encoding="utf-8"?>
<sst xmlns="http://schemas.openxmlformats.org/spreadsheetml/2006/main" count="4411" uniqueCount="628">
  <si>
    <t xml:space="preserve">Local </t>
  </si>
  <si>
    <t xml:space="preserve">Usuario </t>
  </si>
  <si>
    <t>Patente</t>
  </si>
  <si>
    <t>Status</t>
  </si>
  <si>
    <t xml:space="preserve">Observacion </t>
  </si>
  <si>
    <t xml:space="preserve">Telemetria </t>
  </si>
  <si>
    <t>HDVSHKSV64</t>
  </si>
  <si>
    <t>🔴</t>
  </si>
  <si>
    <t>HDVSHZRX80</t>
  </si>
  <si>
    <t>🟢</t>
  </si>
  <si>
    <t>HDVSKCHJ51</t>
  </si>
  <si>
    <t>HDVSKJJX80</t>
  </si>
  <si>
    <t xml:space="preserve">Revisar </t>
  </si>
  <si>
    <t>HDVSKKJZ64</t>
  </si>
  <si>
    <t>HDVSKTZY10</t>
  </si>
  <si>
    <t>🟡</t>
  </si>
  <si>
    <t>HDVSKTZY11</t>
  </si>
  <si>
    <t>HDVSKYSJ80</t>
  </si>
  <si>
    <t>HDVSKZZY17</t>
  </si>
  <si>
    <t>HDVSPGJL89</t>
  </si>
  <si>
    <t>HDVSLFZC21</t>
  </si>
  <si>
    <t>HDVSLHVR22</t>
  </si>
  <si>
    <t>HDVSRGVV55</t>
  </si>
  <si>
    <t>HDVSRXTL44</t>
  </si>
  <si>
    <t>HDVSRYJR47</t>
  </si>
  <si>
    <t>HDVSTKWX57</t>
  </si>
  <si>
    <t>HDVSTRYL82</t>
  </si>
  <si>
    <t>Sacar</t>
  </si>
  <si>
    <t>HDVSTSCT51</t>
  </si>
  <si>
    <t xml:space="preserve">Sacar </t>
  </si>
  <si>
    <t>HDVSTZCH26</t>
  </si>
  <si>
    <t>HDVSCJJY36</t>
  </si>
  <si>
    <t>Sigue</t>
  </si>
  <si>
    <t>HDVSRHXG50</t>
  </si>
  <si>
    <t>en panne</t>
  </si>
  <si>
    <t>HDVSVLHB59</t>
  </si>
  <si>
    <t>HDVSRHWY99</t>
  </si>
  <si>
    <t>HDVSPTGD93</t>
  </si>
  <si>
    <t>HDVSRPGK29</t>
  </si>
  <si>
    <t>HDVSSBTV68</t>
  </si>
  <si>
    <t xml:space="preserve"> HDVSPSLP82 </t>
  </si>
  <si>
    <t>HDVSVDZC94</t>
  </si>
  <si>
    <t>HDVSTYWH80</t>
  </si>
  <si>
    <t>HDVSRVPT55</t>
  </si>
  <si>
    <t>HDVSCJYL78</t>
  </si>
  <si>
    <t xml:space="preserve">No tenia </t>
  </si>
  <si>
    <t>HDVSDLCB16</t>
  </si>
  <si>
    <t>HDVSJPVT35</t>
  </si>
  <si>
    <t xml:space="preserve">Retirar 10/03 </t>
  </si>
  <si>
    <t>HDVSLFTL60</t>
  </si>
  <si>
    <t>16 PROVIDENCIA 10:30</t>
  </si>
  <si>
    <t>HDVSPKPT90</t>
  </si>
  <si>
    <t xml:space="preserve">17 PROVIDENCIA 15:00 </t>
  </si>
  <si>
    <t>HDVSPPWY63</t>
  </si>
  <si>
    <t>HDVSPSCW71</t>
  </si>
  <si>
    <t xml:space="preserve">17 PROVIDENCIA 15:30 </t>
  </si>
  <si>
    <t>HDVSRDPF14</t>
  </si>
  <si>
    <t>HDVSSFJT82</t>
  </si>
  <si>
    <t>HDVSSRYH57</t>
  </si>
  <si>
    <t>HDVSSTWR86</t>
  </si>
  <si>
    <t xml:space="preserve">Martes 17 instalacion </t>
  </si>
  <si>
    <t>HDVSSVLY73</t>
  </si>
  <si>
    <t>HDVSSYSS70</t>
  </si>
  <si>
    <t>Revision /Branding completo</t>
  </si>
  <si>
    <t>HDVSTVZC13</t>
  </si>
  <si>
    <t>HDVSVHSW61</t>
  </si>
  <si>
    <t>TPXY11</t>
  </si>
  <si>
    <t>HDVSTSTP28</t>
  </si>
  <si>
    <t>HDVSHZPB58</t>
  </si>
  <si>
    <t>HDVSTFBY52</t>
  </si>
  <si>
    <t>HDVSFZKB60</t>
  </si>
  <si>
    <t>HDVSJSTD66</t>
  </si>
  <si>
    <t>Brandeada completa</t>
  </si>
  <si>
    <t>HDVSKXDX77</t>
  </si>
  <si>
    <t>HDVSKZZY13</t>
  </si>
  <si>
    <t>HDVSRRTS29</t>
  </si>
  <si>
    <t>HDVSRZTV41</t>
  </si>
  <si>
    <t>HDVSVKDZ87</t>
  </si>
  <si>
    <t>HDVSLCXH45</t>
  </si>
  <si>
    <t>HDVSVKFD45</t>
  </si>
  <si>
    <t>HDVSJSSK36</t>
  </si>
  <si>
    <t>HDVSKGVB33</t>
  </si>
  <si>
    <t>HDVSTVFT65</t>
  </si>
  <si>
    <t>Termino de servicio</t>
  </si>
  <si>
    <t xml:space="preserve">Retirada </t>
  </si>
  <si>
    <t>HDVSTVGC43</t>
  </si>
  <si>
    <t>HDVSTZTH82</t>
  </si>
  <si>
    <t>HDVSJLGK20</t>
  </si>
  <si>
    <t>Ok</t>
  </si>
  <si>
    <t>HDVSPGHD38</t>
  </si>
  <si>
    <t>HDVSPKKB35</t>
  </si>
  <si>
    <t>HDVSTRYL78</t>
  </si>
  <si>
    <t>HDVSVGWW22</t>
  </si>
  <si>
    <t xml:space="preserve">Brandeada Completa </t>
  </si>
  <si>
    <t>HDVSKSXP45</t>
  </si>
  <si>
    <t>HDVSHCBX11</t>
  </si>
  <si>
    <t>HDVSSDYY74</t>
  </si>
  <si>
    <t>Conce</t>
  </si>
  <si>
    <t>HDVSLRXY26</t>
  </si>
  <si>
    <t>HDVSLSVH23</t>
  </si>
  <si>
    <t>HDVSLXGS39</t>
  </si>
  <si>
    <t>HDVSPCJZ43</t>
  </si>
  <si>
    <t>HDVSTRPP43</t>
  </si>
  <si>
    <t>HDVSRBYF40</t>
  </si>
  <si>
    <t>HDVSSKXW43</t>
  </si>
  <si>
    <t>HDVSTJDR58</t>
  </si>
  <si>
    <t>HDVSTWRJ22</t>
  </si>
  <si>
    <t>HDVSJTYF43</t>
  </si>
  <si>
    <t>HDVSLHZW29</t>
  </si>
  <si>
    <t>HDVSLLXD43</t>
  </si>
  <si>
    <t>HDVSRFCG91</t>
  </si>
  <si>
    <t>HDVSRHTD68</t>
  </si>
  <si>
    <t xml:space="preserve">No se retira </t>
  </si>
  <si>
    <t>HDVSRZGZ30</t>
  </si>
  <si>
    <t>Identificador</t>
  </si>
  <si>
    <t xml:space="preserve">Status </t>
  </si>
  <si>
    <t xml:space="preserve">Teletria </t>
  </si>
  <si>
    <t>branding Si/No</t>
  </si>
  <si>
    <t xml:space="preserve">Resolucion sanitaria </t>
  </si>
  <si>
    <t xml:space="preserve">Formulario </t>
  </si>
  <si>
    <t>Branding (Estado)</t>
  </si>
  <si>
    <t xml:space="preserve">Lamas </t>
  </si>
  <si>
    <t xml:space="preserve">Separador </t>
  </si>
  <si>
    <t>Palet en piso</t>
  </si>
  <si>
    <t>Permiso SAC</t>
  </si>
  <si>
    <t>L120 (Temuco)</t>
  </si>
  <si>
    <t>Activa</t>
  </si>
  <si>
    <t>Si</t>
  </si>
  <si>
    <t>✅</t>
  </si>
  <si>
    <t>❌</t>
  </si>
  <si>
    <t>Pendiente</t>
  </si>
  <si>
    <t>En panne</t>
  </si>
  <si>
    <t>Coordinar instalacion</t>
  </si>
  <si>
    <t>FAILA UNA LAMA</t>
  </si>
  <si>
    <t>121 (Punta Arenas)</t>
  </si>
  <si>
    <t>HDVSPSLP82</t>
  </si>
  <si>
    <t>Panne</t>
  </si>
  <si>
    <t xml:space="preserve">Inactiva </t>
  </si>
  <si>
    <t>Cambiar separador</t>
  </si>
  <si>
    <t>HDVSVSGW69</t>
  </si>
  <si>
    <t>No</t>
  </si>
  <si>
    <t>58 (Viña del mar)</t>
  </si>
  <si>
    <t xml:space="preserve">Branding comppleto </t>
  </si>
  <si>
    <t>HDVSTPXY11</t>
  </si>
  <si>
    <t xml:space="preserve">No tiene branding </t>
  </si>
  <si>
    <t xml:space="preserve">Branding incompleto/Lamas feas </t>
  </si>
  <si>
    <t>608 (Chillan)</t>
  </si>
  <si>
    <t>coordinar instalacion</t>
  </si>
  <si>
    <t>618 (Osorno)</t>
  </si>
  <si>
    <t>HDVSVJWK43</t>
  </si>
  <si>
    <t>HDVSVJPH71</t>
  </si>
  <si>
    <t>No tiene branding</t>
  </si>
  <si>
    <t xml:space="preserve">coordinar instalacion </t>
  </si>
  <si>
    <t>657 (Castro)</t>
  </si>
  <si>
    <t>94 (Valdivia)</t>
  </si>
  <si>
    <t>HDVSVJHH25</t>
  </si>
  <si>
    <t>HDVSVJPH80</t>
  </si>
  <si>
    <t>HDVSVJWK44</t>
  </si>
  <si>
    <t>98 (Concepcion)</t>
  </si>
  <si>
    <t>Revisar lamas</t>
  </si>
  <si>
    <t>HDVSRTTR83</t>
  </si>
  <si>
    <t>pendiente</t>
  </si>
  <si>
    <t>HDVSVKJF15</t>
  </si>
  <si>
    <t xml:space="preserve">Falta un lado </t>
  </si>
  <si>
    <t>HDVSRPWK21</t>
  </si>
  <si>
    <t>No cumple</t>
  </si>
  <si>
    <t>HDVSPRFC70</t>
  </si>
  <si>
    <t>99 (Puerto Montt)</t>
  </si>
  <si>
    <t>Todo ok</t>
  </si>
  <si>
    <t>HDVSVJWK40</t>
  </si>
  <si>
    <t>Revisar</t>
  </si>
  <si>
    <t>HDVSVJWK39</t>
  </si>
  <si>
    <t>HDVSVJPH72</t>
  </si>
  <si>
    <t>Por llegar</t>
  </si>
  <si>
    <t>HDVSVJPH79</t>
  </si>
  <si>
    <t>Flota Cyber 2026</t>
  </si>
  <si>
    <t>TIpo</t>
  </si>
  <si>
    <t>Local</t>
  </si>
  <si>
    <t>Observacion</t>
  </si>
  <si>
    <t>FH</t>
  </si>
  <si>
    <t>L58</t>
  </si>
  <si>
    <t>SYSS70</t>
  </si>
  <si>
    <t>Activo</t>
  </si>
  <si>
    <t>PPWY63</t>
  </si>
  <si>
    <t>SRYH57</t>
  </si>
  <si>
    <t>STWR86</t>
  </si>
  <si>
    <t>No operativo</t>
  </si>
  <si>
    <t>VHSW61</t>
  </si>
  <si>
    <t>TVZC13</t>
  </si>
  <si>
    <t>DLCB16</t>
  </si>
  <si>
    <t>SVLY73</t>
  </si>
  <si>
    <t>TSTP28</t>
  </si>
  <si>
    <t>L94</t>
  </si>
  <si>
    <t>TRYL78</t>
  </si>
  <si>
    <t>VJPH80</t>
  </si>
  <si>
    <t>VJWK44</t>
  </si>
  <si>
    <t>VGWW22</t>
  </si>
  <si>
    <t>LRXY26</t>
  </si>
  <si>
    <t>PGHD38</t>
  </si>
  <si>
    <t>VJRT63</t>
  </si>
  <si>
    <t>L98</t>
  </si>
  <si>
    <t>KSXP45</t>
  </si>
  <si>
    <t>RTTR83</t>
  </si>
  <si>
    <t>SDYY74</t>
  </si>
  <si>
    <t>TRPP43</t>
  </si>
  <si>
    <t>VKJF15</t>
  </si>
  <si>
    <t>RDLW17</t>
  </si>
  <si>
    <t>Falta piso(Revisar)</t>
  </si>
  <si>
    <t>PCFZ21</t>
  </si>
  <si>
    <t>VDSH17</t>
  </si>
  <si>
    <t>PRFC70</t>
  </si>
  <si>
    <t>RBYF40</t>
  </si>
  <si>
    <t>RPWK21</t>
  </si>
  <si>
    <t>SKXW43</t>
  </si>
  <si>
    <t>TJDR58</t>
  </si>
  <si>
    <t>LSVH23</t>
  </si>
  <si>
    <t>PCJZ43</t>
  </si>
  <si>
    <t>L99</t>
  </si>
  <si>
    <t>LHZW29</t>
  </si>
  <si>
    <t>VJWK40</t>
  </si>
  <si>
    <t>VJWK39</t>
  </si>
  <si>
    <t>JTYF43</t>
  </si>
  <si>
    <t>LLXD43</t>
  </si>
  <si>
    <t>VJPH72</t>
  </si>
  <si>
    <t>Parte 29/05</t>
  </si>
  <si>
    <t>VJPH79</t>
  </si>
  <si>
    <t>LCWT89</t>
  </si>
  <si>
    <t>L120</t>
  </si>
  <si>
    <t>KKJZ64</t>
  </si>
  <si>
    <t>HZRX80</t>
  </si>
  <si>
    <t>KCHJ51</t>
  </si>
  <si>
    <t>KYSJ80</t>
  </si>
  <si>
    <t>TSCT51</t>
  </si>
  <si>
    <t>LHVR22</t>
  </si>
  <si>
    <t>RYJR47</t>
  </si>
  <si>
    <t>TZCH26</t>
  </si>
  <si>
    <t>KZZY17</t>
  </si>
  <si>
    <t>PGJL89</t>
  </si>
  <si>
    <t>RXTL44</t>
  </si>
  <si>
    <t>TRYL82</t>
  </si>
  <si>
    <t>L121</t>
  </si>
  <si>
    <t>VLHB59</t>
  </si>
  <si>
    <t>VDZC94</t>
  </si>
  <si>
    <t>PTGD93</t>
  </si>
  <si>
    <t xml:space="preserve">Panne </t>
  </si>
  <si>
    <t>CJJY36</t>
  </si>
  <si>
    <t>TYWH80</t>
  </si>
  <si>
    <t>RCVG47</t>
  </si>
  <si>
    <t>Falta BT</t>
  </si>
  <si>
    <t>VGTD93</t>
  </si>
  <si>
    <t>SBTV68</t>
  </si>
  <si>
    <t>VSGW69</t>
  </si>
  <si>
    <t>PSLP82</t>
  </si>
  <si>
    <t>Panne /Resolucion</t>
  </si>
  <si>
    <t>L608</t>
  </si>
  <si>
    <t>TWRJ22</t>
  </si>
  <si>
    <t>HZPB58</t>
  </si>
  <si>
    <t>VKDZ87</t>
  </si>
  <si>
    <t>L618</t>
  </si>
  <si>
    <t>JSTD66</t>
  </si>
  <si>
    <t>KXDX77</t>
  </si>
  <si>
    <t>FZKB60</t>
  </si>
  <si>
    <t>VJWK43</t>
  </si>
  <si>
    <t>KZZY13</t>
  </si>
  <si>
    <t>VJPH71</t>
  </si>
  <si>
    <t>VJPJ18</t>
  </si>
  <si>
    <t>VKFD45</t>
  </si>
  <si>
    <t>L657</t>
  </si>
  <si>
    <t>JSSK36</t>
  </si>
  <si>
    <t>KGVB33</t>
  </si>
  <si>
    <t>FLD</t>
  </si>
  <si>
    <t>L45</t>
  </si>
  <si>
    <t>JCRZ41</t>
  </si>
  <si>
    <t>PPXL56</t>
  </si>
  <si>
    <t>PZLX49</t>
  </si>
  <si>
    <t>HDJW94</t>
  </si>
  <si>
    <t>RRSX45</t>
  </si>
  <si>
    <t>HVDK36</t>
  </si>
  <si>
    <t>PSCW71</t>
  </si>
  <si>
    <t>GXDS74</t>
  </si>
  <si>
    <t>Sale 29/05</t>
  </si>
  <si>
    <t>Camion por ingresar</t>
  </si>
  <si>
    <t>KBGZ36</t>
  </si>
  <si>
    <t>RRLF86</t>
  </si>
  <si>
    <t>LJTV50</t>
  </si>
  <si>
    <t>JRLS46</t>
  </si>
  <si>
    <t>RLDP39</t>
  </si>
  <si>
    <t>JXCV71</t>
  </si>
  <si>
    <t>SSRF40</t>
  </si>
  <si>
    <t>Sale 30/05</t>
  </si>
  <si>
    <t>KCWL95</t>
  </si>
  <si>
    <t>SCWZ56</t>
  </si>
  <si>
    <t>JLPZ25</t>
  </si>
  <si>
    <t>LZGV53</t>
  </si>
  <si>
    <t>RDKS16</t>
  </si>
  <si>
    <t>GLBZ25</t>
  </si>
  <si>
    <t>JKDP45</t>
  </si>
  <si>
    <t>JVHZ54</t>
  </si>
  <si>
    <t>KBGZ82</t>
  </si>
  <si>
    <t>JTRH38</t>
  </si>
  <si>
    <t>LYVP54</t>
  </si>
  <si>
    <t>KTGT79</t>
  </si>
  <si>
    <t>GFYS25</t>
  </si>
  <si>
    <t>L95</t>
  </si>
  <si>
    <t>FJTT27</t>
  </si>
  <si>
    <t>KZPY29</t>
  </si>
  <si>
    <t>RTXS54</t>
  </si>
  <si>
    <t>SJCY30</t>
  </si>
  <si>
    <t>VDVB53</t>
  </si>
  <si>
    <t>GYKP40</t>
  </si>
  <si>
    <t>PDZS86</t>
  </si>
  <si>
    <t>JWDH77</t>
  </si>
  <si>
    <t>TPVK74</t>
  </si>
  <si>
    <t>Auto pendiente</t>
  </si>
  <si>
    <t>RYTC41</t>
  </si>
  <si>
    <t>PRLG54</t>
  </si>
  <si>
    <t>KXKJ82</t>
  </si>
  <si>
    <t>RCLZ94</t>
  </si>
  <si>
    <t>JWXL72</t>
  </si>
  <si>
    <t>LTXC53</t>
  </si>
  <si>
    <t>KTXZ53</t>
  </si>
  <si>
    <t>RGWL75</t>
  </si>
  <si>
    <t>LZJF49</t>
  </si>
  <si>
    <t>FLE</t>
  </si>
  <si>
    <t>TTHR19</t>
  </si>
  <si>
    <t>TTHR12</t>
  </si>
  <si>
    <t>TTHP95</t>
  </si>
  <si>
    <t>TTHP92</t>
  </si>
  <si>
    <t>TTHP82</t>
  </si>
  <si>
    <t>TTHP93</t>
  </si>
  <si>
    <t xml:space="preserve"> REPARACIÓN CAMIONETAS ELÉCTRICAS</t>
  </si>
  <si>
    <t>Pendiente / detalle</t>
  </si>
  <si>
    <t>Listo</t>
  </si>
  <si>
    <t>TMK no funciona</t>
  </si>
  <si>
    <t>Buen estado general</t>
  </si>
  <si>
    <t>Cámara mala</t>
  </si>
  <si>
    <t>Parabrisa quebrado / cambio urgente</t>
  </si>
  <si>
    <t>Focos delanteros malos</t>
  </si>
  <si>
    <t>Sin grabado de patente</t>
  </si>
  <si>
    <t>Sin branding</t>
  </si>
  <si>
    <t>% Cumplimiento</t>
  </si>
  <si>
    <t>% Pendiente</t>
  </si>
  <si>
    <t>Estado</t>
  </si>
  <si>
    <t>CONTROL RESOLUCIÓN SANITARIA- FALTANTES FLOTA FH</t>
  </si>
  <si>
    <t>Estatus</t>
  </si>
  <si>
    <t>Observación</t>
  </si>
  <si>
    <t>% Avance</t>
  </si>
  <si>
    <t>TKWX57</t>
  </si>
  <si>
    <t>No responde</t>
  </si>
  <si>
    <t>VS</t>
  </si>
  <si>
    <t xml:space="preserve">Proceso </t>
  </si>
  <si>
    <t>58 (Viña del Mar)</t>
  </si>
  <si>
    <t>listo</t>
  </si>
  <si>
    <t>viernes</t>
  </si>
  <si>
    <t>sabado</t>
  </si>
  <si>
    <t>domingo</t>
  </si>
  <si>
    <t>lunes</t>
  </si>
  <si>
    <t>martes</t>
  </si>
  <si>
    <t>miércoles</t>
  </si>
  <si>
    <t>jueves</t>
  </si>
  <si>
    <t>sábado</t>
  </si>
  <si>
    <t>horas extras</t>
  </si>
  <si>
    <t>Local 58</t>
  </si>
  <si>
    <t>Macarena Andrea Ibaceta Cabrera</t>
  </si>
  <si>
    <t>Libre</t>
  </si>
  <si>
    <t>FULL</t>
  </si>
  <si>
    <t>comp</t>
  </si>
  <si>
    <t xml:space="preserve">Rodrigo Orlando Mora Vera </t>
  </si>
  <si>
    <t>Felipe Carvallo</t>
  </si>
  <si>
    <t>Fabian Soto</t>
  </si>
  <si>
    <t>Local 45</t>
  </si>
  <si>
    <t>claudia</t>
  </si>
  <si>
    <t>Victor Daniel Valero Gomez</t>
  </si>
  <si>
    <t>Extra</t>
  </si>
  <si>
    <t>Maximiliano Vicente Abrigo Vidal</t>
  </si>
  <si>
    <t>VAC</t>
  </si>
  <si>
    <t>Adriana Katherine Ruiz Sanabria</t>
  </si>
  <si>
    <t>fuLL</t>
  </si>
  <si>
    <t>La Reina</t>
  </si>
  <si>
    <t>Local 95</t>
  </si>
  <si>
    <t xml:space="preserve">Vanessa </t>
  </si>
  <si>
    <t>LIBRE</t>
  </si>
  <si>
    <t>AM</t>
  </si>
  <si>
    <t>Teresa</t>
  </si>
  <si>
    <t>CITACIONES MAYO 2026 | FH_ESTIVALES | DÍAS 01 AL 26</t>
  </si>
  <si>
    <t>Total días activos</t>
  </si>
  <si>
    <t>Vie 01</t>
  </si>
  <si>
    <t>Sáb 02</t>
  </si>
  <si>
    <t>Dom 03</t>
  </si>
  <si>
    <t>Lun 04</t>
  </si>
  <si>
    <t>Mar 05</t>
  </si>
  <si>
    <t>Mié 06</t>
  </si>
  <si>
    <t>Jue 07</t>
  </si>
  <si>
    <t>Vie 08</t>
  </si>
  <si>
    <t>Sáb 09</t>
  </si>
  <si>
    <t>Dom 10</t>
  </si>
  <si>
    <t>Lun 11</t>
  </si>
  <si>
    <t>Mar 12</t>
  </si>
  <si>
    <t>Mié 13</t>
  </si>
  <si>
    <t>Jue 14</t>
  </si>
  <si>
    <t>Vie 15</t>
  </si>
  <si>
    <t>Sáb 16</t>
  </si>
  <si>
    <t>Dom 17</t>
  </si>
  <si>
    <t>Lun 18</t>
  </si>
  <si>
    <t>Mar 19</t>
  </si>
  <si>
    <t>Mié 20</t>
  </si>
  <si>
    <t>Jue 21</t>
  </si>
  <si>
    <t>Vie 22</t>
  </si>
  <si>
    <t>Sáb 23</t>
  </si>
  <si>
    <t>Dom 24</t>
  </si>
  <si>
    <t>Lun 25</t>
  </si>
  <si>
    <t>Mar 26</t>
  </si>
  <si>
    <t>X</t>
  </si>
  <si>
    <t>L58(l983)</t>
  </si>
  <si>
    <t>Por partir</t>
  </si>
  <si>
    <t>TFBY52</t>
  </si>
  <si>
    <t>COUNTA de Patente</t>
  </si>
  <si>
    <t>Suma total</t>
  </si>
  <si>
    <t>CITACIONES MAYO 2026 | MM | DÍAS 01 AL 26</t>
  </si>
  <si>
    <t>RBSD26</t>
  </si>
  <si>
    <t>L45 ELÉCTRICAS</t>
  </si>
  <si>
    <t>Resolución Sanitaria</t>
  </si>
  <si>
    <t>CORREO</t>
  </si>
  <si>
    <t>RUT</t>
  </si>
  <si>
    <t>NOMBRE</t>
  </si>
  <si>
    <t>TELEFONO</t>
  </si>
  <si>
    <t>Llamada/contacto</t>
  </si>
  <si>
    <t>Si cuenta con RS</t>
  </si>
  <si>
    <t>christianscheel@transcheel.cl</t>
  </si>
  <si>
    <t>79850340-5</t>
  </si>
  <si>
    <t>Transcheel Limitada</t>
  </si>
  <si>
    <t>RS LISTA</t>
  </si>
  <si>
    <t>cristian.contreras.reyes@gmail.com</t>
  </si>
  <si>
    <t>19477117-7</t>
  </si>
  <si>
    <t>Benjamín Contreras espinoza</t>
  </si>
  <si>
    <t>salvadorsilva.syb@gmail.com</t>
  </si>
  <si>
    <t>17581873-1</t>
  </si>
  <si>
    <t>Salvador fernando silva stuardo</t>
  </si>
  <si>
    <t>Jlqb1979@gmail.com</t>
  </si>
  <si>
    <t>76935957-5</t>
  </si>
  <si>
    <t>Pasajes Encominedas Jessica Cofre Eirl</t>
  </si>
  <si>
    <t>yonathanuribe98@gmail.com</t>
  </si>
  <si>
    <t>19810237-7</t>
  </si>
  <si>
    <t>Yonathan Eduardo Uribe valencia</t>
  </si>
  <si>
    <t>desarmadurialabranzatemucospa@gmail.com</t>
  </si>
  <si>
    <t>21356499-4</t>
  </si>
  <si>
    <t>DANIEL ALEJANDRO CANCINO BUSTAMANTE</t>
  </si>
  <si>
    <t>quirozdiego199530@gmail.com</t>
  </si>
  <si>
    <t>19195970-1</t>
  </si>
  <si>
    <t>Diego Alfonso Quiroz Alvial</t>
  </si>
  <si>
    <t>No se encuentra resolución sanitaria</t>
  </si>
  <si>
    <t>empresabusesdelsur@gmail.com</t>
  </si>
  <si>
    <t>14215495-1</t>
  </si>
  <si>
    <t>Gerardo Andrés Jara Fernández</t>
  </si>
  <si>
    <t>En proceso de obtener, consultará en oficinas cuanto es el proceso</t>
  </si>
  <si>
    <t>No se encuentra documentación</t>
  </si>
  <si>
    <t>dobblevia1@gmail.com</t>
  </si>
  <si>
    <t>15952434-5</t>
  </si>
  <si>
    <t>Romina De Lourdes Vasquez Catalan</t>
  </si>
  <si>
    <t>PPU DE VS</t>
  </si>
  <si>
    <t>kitty00aly@gmail.com</t>
  </si>
  <si>
    <t>78246992-4</t>
  </si>
  <si>
    <t>Transporte Lyha y Sa spa</t>
  </si>
  <si>
    <t>transportesdorotea@gmail.com</t>
  </si>
  <si>
    <t>19725222-7</t>
  </si>
  <si>
    <t>FERNADO JOSE ARIAS CAYUMAN</t>
  </si>
  <si>
    <t>Va a revisar si tiene el permiso si no, mañana va a sacarlo, comenta que se demora 3 meses en estar listo</t>
  </si>
  <si>
    <t>hector-gls123@hotmail.com</t>
  </si>
  <si>
    <t>12935205-1</t>
  </si>
  <si>
    <t>Hector fernando otey alvarez</t>
  </si>
  <si>
    <t>RHWY99</t>
  </si>
  <si>
    <t>transportes.spartan2020@gmail.com</t>
  </si>
  <si>
    <t>16500628-3</t>
  </si>
  <si>
    <t>Valerio Andrés Apablaza barrera</t>
  </si>
  <si>
    <t>RVPT55</t>
  </si>
  <si>
    <t>Inactiva</t>
  </si>
  <si>
    <t>d.ccerna1988@gmail.com</t>
  </si>
  <si>
    <t>17101310-0</t>
  </si>
  <si>
    <t>Daniela Natalia del pilar Contreras cerna</t>
  </si>
  <si>
    <t>Hola buenas tardes, yo emito boletas honorarios, entonces ahora tengo que hacer un contrato de arriendo para solicitar inicio de actividades ya que donde vivo no es mi hogar( es de mi pareja)  y luego solicitar la resolución que se demora app unos 15 días....le pido por favor unos días ya que estoy en proceso, le explicó como para que me entienda mi problema, pero estoy gestionando para pronto tener la resolución</t>
  </si>
  <si>
    <t>transkyring@gmail.com</t>
  </si>
  <si>
    <t>9778930-4</t>
  </si>
  <si>
    <t>Luis Alberto Caroca Orellana</t>
  </si>
  <si>
    <t>bastian.vera.torres@gmail.com</t>
  </si>
  <si>
    <t>18208827-7</t>
  </si>
  <si>
    <t>Bastian Dario Vera Torres</t>
  </si>
  <si>
    <t>ozn.spa@gmail.com</t>
  </si>
  <si>
    <t>9073465-2</t>
  </si>
  <si>
    <t>Daniel Andrea Otzen Cartagena</t>
  </si>
  <si>
    <t>transportesncspa2025@gmail.com</t>
  </si>
  <si>
    <t>78300645-6</t>
  </si>
  <si>
    <t>Christian Adrián Davis Segovia</t>
  </si>
  <si>
    <t>transportejsltda@gmail.com</t>
  </si>
  <si>
    <t>12067341-6</t>
  </si>
  <si>
    <t>Jaime óscar del canto Bazaes</t>
  </si>
  <si>
    <t>cofrevictor07@gmail.com</t>
  </si>
  <si>
    <t>15398115-9</t>
  </si>
  <si>
    <t>Victor cofre</t>
  </si>
  <si>
    <t>Arriechebetancourt@gmail.com</t>
  </si>
  <si>
    <t>26879313-5</t>
  </si>
  <si>
    <t>Jorge Arrieche</t>
  </si>
  <si>
    <t>Comercializadoratorres.carnes@gmail.com</t>
  </si>
  <si>
    <t>15085114-9</t>
  </si>
  <si>
    <t>Juan Torres Malvino</t>
  </si>
  <si>
    <t>En tramitación</t>
  </si>
  <si>
    <t>bayron.transporte@gmail.com</t>
  </si>
  <si>
    <t>19773857-k</t>
  </si>
  <si>
    <t>Bayron Enrique Oñate Valenzuela</t>
  </si>
  <si>
    <t>ffernandini@outlook.com</t>
  </si>
  <si>
    <t>12008037-7</t>
  </si>
  <si>
    <t>Felipe Alejandro Fernandini Morales</t>
  </si>
  <si>
    <t>jdmtorres5@gmail.com</t>
  </si>
  <si>
    <t>22705473-5</t>
  </si>
  <si>
    <t>Juan david Moreno</t>
  </si>
  <si>
    <t>transportes.sanmartin95@gmail.com</t>
  </si>
  <si>
    <t>19072805-6</t>
  </si>
  <si>
    <t>Victor Hugo San Martin San Martin</t>
  </si>
  <si>
    <t>ingridjanetlorca@gmail.com</t>
  </si>
  <si>
    <t>14441740-2</t>
  </si>
  <si>
    <t>Luis Arnoldo Segovia Soto</t>
  </si>
  <si>
    <t>EVEFUENT@GMAIL.COM</t>
  </si>
  <si>
    <t>21680369-8</t>
  </si>
  <si>
    <t>ARIEL MARTIN ZAMBRANO FUENTES</t>
  </si>
  <si>
    <t>transportesovallespa@gmail.com</t>
  </si>
  <si>
    <t>77058729-8</t>
  </si>
  <si>
    <t>Sociedad De Transportes Wunderlich Ltda</t>
  </si>
  <si>
    <t>transporte.penaloza2024@gmail.com</t>
  </si>
  <si>
    <t>19008359-4</t>
  </si>
  <si>
    <t>Felipe ignacio lobos peñaloza</t>
  </si>
  <si>
    <t>No contesta de nuevo</t>
  </si>
  <si>
    <t>adolfomoll@gmail.com</t>
  </si>
  <si>
    <t>10692564-k</t>
  </si>
  <si>
    <t>Cristian Adolfo Moll Ibañez</t>
  </si>
  <si>
    <t>fredy.nirril@gmail.com</t>
  </si>
  <si>
    <t>15271287-1</t>
  </si>
  <si>
    <t>Fredy Antonio Ñirril Blas</t>
  </si>
  <si>
    <t>nya.tchile@gmail.com</t>
  </si>
  <si>
    <t>16319201-2</t>
  </si>
  <si>
    <t>JOSE MARCO ANTONIO VASQUEZ CEPEDA</t>
  </si>
  <si>
    <t>maria.graterol@gmail.com</t>
  </si>
  <si>
    <t>25861453-4</t>
  </si>
  <si>
    <t>MARIA ALEJANDRA GRATEROL GUEVARA</t>
  </si>
  <si>
    <t>comercialcochrane@gmail.com</t>
  </si>
  <si>
    <t>20087190-1</t>
  </si>
  <si>
    <t>Kalil Abu-Qalbein Koda</t>
  </si>
  <si>
    <t>francisco.delgado1512@gmail.com</t>
  </si>
  <si>
    <t>20945212-k</t>
  </si>
  <si>
    <t>Francisco David Delgado Contreras</t>
  </si>
  <si>
    <t>d.pacheco.antinao@gmail.com</t>
  </si>
  <si>
    <t>16931108-0</t>
  </si>
  <si>
    <t>Daniel Leandro Pacheco Antinao</t>
  </si>
  <si>
    <t>En tramite, el contador le mencionó que en 3 o 4 dias la tiene</t>
  </si>
  <si>
    <t>yasminapvelasco@gmail.com</t>
  </si>
  <si>
    <t>17098589-3</t>
  </si>
  <si>
    <t>Yasmina Natali Peña Velasco</t>
  </si>
  <si>
    <t>isabelmirandasierra3@gmail.com</t>
  </si>
  <si>
    <t>26792516-k</t>
  </si>
  <si>
    <t>Isabel Miranda sierra</t>
  </si>
  <si>
    <t>transportesinterlaguna@gmail.com</t>
  </si>
  <si>
    <t>18111675-7</t>
  </si>
  <si>
    <t>María José Lagos Mellado</t>
  </si>
  <si>
    <t>HECTORVELOSO1821@GMAIL.COM</t>
  </si>
  <si>
    <t>17899287-2</t>
  </si>
  <si>
    <t>HECTOR VELOSO FLORES</t>
  </si>
  <si>
    <t>eleacer.fg@gmail.com</t>
  </si>
  <si>
    <t>16690067-0</t>
  </si>
  <si>
    <t>Patricio eliecer fernandez gonzalez</t>
  </si>
  <si>
    <t>dwpcpecab@gmail.com</t>
  </si>
  <si>
    <t>10596293-2</t>
  </si>
  <si>
    <t>luis isaias peña peña</t>
  </si>
  <si>
    <t>trasporza0527@gmail.com</t>
  </si>
  <si>
    <t>27067972-2</t>
  </si>
  <si>
    <t>Brayan Alberto Díaz muñoz</t>
  </si>
  <si>
    <t>marguis.suarez2019@gmail.com</t>
  </si>
  <si>
    <t>27908844-1</t>
  </si>
  <si>
    <t>marguis aldriz suarez primera</t>
  </si>
  <si>
    <t>JESUS.COYOPAE@GMAIL.COM</t>
  </si>
  <si>
    <t>17299443-1</t>
  </si>
  <si>
    <t>JESÚS JAVIER COYOPAE PACHECO</t>
  </si>
  <si>
    <t>Está en tramite con a documentacióon de ambos vehiculos</t>
  </si>
  <si>
    <t>ronadromero442@gmail.com</t>
  </si>
  <si>
    <t>26518752-8</t>
  </si>
  <si>
    <t>Ronald Roberths Romero Romero</t>
  </si>
  <si>
    <t>Usuario BT</t>
  </si>
  <si>
    <t xml:space="preserve">Patente </t>
  </si>
  <si>
    <t xml:space="preserve">Estatus </t>
  </si>
  <si>
    <t xml:space="preserve">Instalacion Lista </t>
  </si>
  <si>
    <t>Planificar /Pendiente</t>
  </si>
  <si>
    <t>Pasa a cobro</t>
  </si>
  <si>
    <t>Pendiente Instalacion</t>
  </si>
  <si>
    <t xml:space="preserve">No aplica </t>
  </si>
  <si>
    <t>Retirada</t>
  </si>
  <si>
    <t>OK</t>
  </si>
  <si>
    <t>REVISAR 87</t>
  </si>
  <si>
    <t>REVISAR 2 PPU</t>
  </si>
  <si>
    <t>HDVSGW69</t>
  </si>
  <si>
    <t>PLYC18</t>
  </si>
  <si>
    <t>No aparece</t>
  </si>
  <si>
    <t>No aplica</t>
  </si>
  <si>
    <t xml:space="preserve">No se presenta (TPXY11) </t>
  </si>
  <si>
    <t xml:space="preserve">18-retirada 58 </t>
  </si>
  <si>
    <t xml:space="preserve">No aplica/no tenia </t>
  </si>
  <si>
    <t>Aun no instala</t>
  </si>
  <si>
    <t>Cambiara camion</t>
  </si>
  <si>
    <t>No continua</t>
  </si>
  <si>
    <t>no</t>
  </si>
  <si>
    <t xml:space="preserve">Nuevo </t>
  </si>
  <si>
    <t>HDVSPHSG17</t>
  </si>
  <si>
    <t xml:space="preserve">Agendada retiro </t>
  </si>
  <si>
    <t>Coordinar revision/Disponibilidad</t>
  </si>
  <si>
    <t xml:space="preserve">Pasa a cobro </t>
  </si>
  <si>
    <t xml:space="preserve">Furgon Frio </t>
  </si>
  <si>
    <t>HDVSTTHP92</t>
  </si>
  <si>
    <t>HDVSTTHR12</t>
  </si>
  <si>
    <t>HDVSTTHP95</t>
  </si>
  <si>
    <t>HDVSTTHP93</t>
  </si>
  <si>
    <t>pendiente Instalacion</t>
  </si>
  <si>
    <t>FLOTA HEAVY VALDISHOPPER</t>
  </si>
  <si>
    <t>FLD/FLE</t>
  </si>
  <si>
    <t>Tenemos hoy</t>
  </si>
  <si>
    <t>Requerimiento</t>
  </si>
  <si>
    <t>Por ingresar S20</t>
  </si>
  <si>
    <t>Flota Total</t>
  </si>
  <si>
    <t xml:space="preserve">Requerimento </t>
  </si>
  <si>
    <t>Por ingresar S21</t>
  </si>
  <si>
    <t>Por ingresar S22</t>
  </si>
  <si>
    <t>Por ingresar S23</t>
  </si>
  <si>
    <t xml:space="preserve">Por buscar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</si>
</sst>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
    <numFmt numFmtId="165" formatCode="dd/mm"/>
    <numFmt numFmtId="166" formatCode="d mmmm"/>
  </numFmts>
  <fonts count="33">
    <font>
      <sz val="10.0"/>
      <color rgb="FF000000"/>
      <name val="Arial"/>
      <scheme val="minor"/>
    </font>
    <font>
      <sz val="11.0"/>
      <color theme="1"/>
      <name val="Calibri"/>
    </font>
    <font>
      <b/>
      <sz val="11.0"/>
      <color rgb="FFFFFFFF"/>
      <name val="Calibri"/>
    </font>
    <font>
      <color theme="1"/>
      <name val="Arial"/>
      <scheme val="minor"/>
    </font>
    <font>
      <sz val="11.0"/>
      <color rgb="FF000000"/>
      <name val="Calibri"/>
    </font>
    <font>
      <b/>
      <sz val="9.0"/>
      <color rgb="FFFFFFFF"/>
      <name val="Calibri"/>
    </font>
    <font>
      <b/>
      <sz val="9.0"/>
      <color rgb="FFFFFFFF"/>
      <name val="Arial"/>
      <scheme val="minor"/>
    </font>
    <font>
      <sz val="8.0"/>
      <color theme="1"/>
      <name val="Calibri"/>
    </font>
    <font>
      <sz val="8.0"/>
      <color theme="1"/>
      <name val="Arial"/>
      <scheme val="minor"/>
    </font>
    <font>
      <sz val="10.0"/>
      <color theme="1"/>
      <name val="Calibri"/>
    </font>
    <font>
      <sz val="10.0"/>
      <color theme="1"/>
      <name val="Arial"/>
      <scheme val="minor"/>
    </font>
    <font>
      <sz val="8.0"/>
      <color theme="1"/>
      <name val="Arial"/>
    </font>
    <font>
      <b/>
      <sz val="15.0"/>
      <color rgb="FFFFFFFF"/>
      <name val="Calibri"/>
    </font>
    <font/>
    <font>
      <color theme="1"/>
      <name val="Calibri"/>
    </font>
    <font>
      <b/>
      <sz val="11.0"/>
      <color theme="1"/>
      <name val="Calibri"/>
    </font>
    <font>
      <sz val="9.0"/>
      <color rgb="FFFFFFFF"/>
      <name val="Calibri"/>
    </font>
    <font>
      <b/>
      <color rgb="FFFFFFFF"/>
      <name val="Calibri"/>
    </font>
    <font>
      <color theme="1"/>
      <name val="Arial"/>
    </font>
    <font>
      <b/>
      <sz val="11.0"/>
      <color rgb="FF006100"/>
      <name val="Calibri"/>
    </font>
    <font>
      <b/>
      <sz val="12.0"/>
      <color rgb="FFFFFFFF"/>
      <name val="Calibri"/>
    </font>
    <font>
      <b/>
      <sz val="12.0"/>
      <color rgb="FFFFFFFF"/>
      <name val="Arial"/>
    </font>
    <font>
      <b/>
      <sz val="12.0"/>
      <color rgb="FFFFFFFF"/>
      <name val="Aptos Narrow"/>
    </font>
    <font>
      <b/>
      <sz val="11.0"/>
      <color theme="1"/>
      <name val="Arial"/>
    </font>
    <font>
      <sz val="11.0"/>
      <color rgb="FF222222"/>
      <name val="Calibri"/>
    </font>
    <font>
      <color rgb="FF222222"/>
      <name val="Arial"/>
    </font>
    <font>
      <sz val="11.0"/>
      <color theme="1"/>
      <name val="Aptos Narrow"/>
    </font>
    <font>
      <color rgb="FF434343"/>
      <name val="Roboto"/>
    </font>
    <font>
      <sz val="11.0"/>
      <color rgb="FFFFFFFF"/>
      <name val="Calibri"/>
    </font>
    <font>
      <sz val="11.0"/>
      <color rgb="FF6226F7"/>
      <name val="Roboto"/>
    </font>
    <font>
      <i/>
      <color theme="1"/>
      <name val="Arial"/>
    </font>
    <font>
      <color rgb="FFFFFFFF"/>
      <name val="Arial"/>
    </font>
    <font>
      <b/>
      <color theme="1"/>
      <name val="Arial"/>
    </font>
  </fonts>
  <fills count="38">
    <fill>
      <patternFill patternType="none"/>
    </fill>
    <fill>
      <patternFill patternType="lightGray"/>
    </fill>
    <fill>
      <patternFill patternType="solid">
        <fgColor rgb="FF002060"/>
        <bgColor rgb="FF002060"/>
      </patternFill>
    </fill>
    <fill>
      <patternFill patternType="solid">
        <fgColor rgb="FF00FF00"/>
        <bgColor rgb="FF00FF00"/>
      </patternFill>
    </fill>
    <fill>
      <patternFill patternType="solid">
        <fgColor rgb="FFE06666"/>
        <bgColor rgb="FFE06666"/>
      </patternFill>
    </fill>
    <fill>
      <patternFill patternType="solid">
        <fgColor rgb="FFFFFF00"/>
        <bgColor rgb="FFFFFF00"/>
      </patternFill>
    </fill>
    <fill>
      <patternFill patternType="solid">
        <fgColor rgb="FFB3A594"/>
        <bgColor rgb="FFB3A594"/>
      </patternFill>
    </fill>
    <fill>
      <patternFill patternType="solid">
        <fgColor rgb="FFFFFFFF"/>
        <bgColor rgb="FFFFFFFF"/>
      </patternFill>
    </fill>
    <fill>
      <patternFill patternType="solid">
        <fgColor rgb="FFEA9999"/>
        <bgColor rgb="FFEA9999"/>
      </patternFill>
    </fill>
    <fill>
      <patternFill patternType="solid">
        <fgColor rgb="FFE91E63"/>
        <bgColor rgb="FFE91E63"/>
      </patternFill>
    </fill>
    <fill>
      <patternFill patternType="solid">
        <fgColor rgb="FF0B1F5B"/>
        <bgColor rgb="FF0B1F5B"/>
      </patternFill>
    </fill>
    <fill>
      <patternFill patternType="solid">
        <fgColor rgb="FFB7E1CD"/>
        <bgColor rgb="FFB7E1CD"/>
      </patternFill>
    </fill>
    <fill>
      <patternFill patternType="solid">
        <fgColor rgb="FFEAF1FF"/>
        <bgColor rgb="FFEAF1FF"/>
      </patternFill>
    </fill>
    <fill>
      <patternFill patternType="solid">
        <fgColor rgb="FFF4CCCC"/>
        <bgColor rgb="FFF4CCCC"/>
      </patternFill>
    </fill>
    <fill>
      <patternFill patternType="solid">
        <fgColor rgb="FF06204A"/>
        <bgColor rgb="FF06204A"/>
      </patternFill>
    </fill>
    <fill>
      <patternFill patternType="solid">
        <fgColor rgb="FF0B2A66"/>
        <bgColor rgb="FF0B2A66"/>
      </patternFill>
    </fill>
    <fill>
      <patternFill patternType="solid">
        <fgColor rgb="FFE62B84"/>
        <bgColor rgb="FFE62B84"/>
      </patternFill>
    </fill>
    <fill>
      <patternFill patternType="solid">
        <fgColor rgb="FFFFC7CE"/>
        <bgColor rgb="FFFFC7CE"/>
      </patternFill>
    </fill>
    <fill>
      <patternFill patternType="solid">
        <fgColor rgb="FFC6EFCE"/>
        <bgColor rgb="FFC6EFCE"/>
      </patternFill>
    </fill>
    <fill>
      <patternFill patternType="solid">
        <fgColor rgb="FFF3F4F6"/>
        <bgColor rgb="FFF3F4F6"/>
      </patternFill>
    </fill>
    <fill>
      <patternFill patternType="solid">
        <fgColor rgb="FFFFF2CC"/>
        <bgColor rgb="FFFFF2CC"/>
      </patternFill>
    </fill>
    <fill>
      <patternFill patternType="solid">
        <fgColor rgb="FF6D9EEB"/>
        <bgColor rgb="FF6D9EEB"/>
      </patternFill>
    </fill>
    <fill>
      <patternFill patternType="solid">
        <fgColor rgb="FF57BB8A"/>
        <bgColor rgb="FF57BB8A"/>
      </patternFill>
    </fill>
    <fill>
      <patternFill patternType="solid">
        <fgColor rgb="FF88AF8F"/>
        <bgColor rgb="FF88AF8F"/>
      </patternFill>
    </fill>
    <fill>
      <patternFill patternType="solid">
        <fgColor rgb="FFC9DAF8"/>
        <bgColor rgb="FFC9DAF8"/>
      </patternFill>
    </fill>
    <fill>
      <patternFill patternType="solid">
        <fgColor rgb="FFFF0000"/>
        <bgColor rgb="FFFF0000"/>
      </patternFill>
    </fill>
    <fill>
      <patternFill patternType="solid">
        <fgColor rgb="FFB9A494"/>
        <bgColor rgb="FFB9A494"/>
      </patternFill>
    </fill>
    <fill>
      <patternFill patternType="solid">
        <fgColor rgb="FF1F4E78"/>
        <bgColor rgb="FF1F4E78"/>
      </patternFill>
    </fill>
    <fill>
      <patternFill patternType="solid">
        <fgColor rgb="FFF4F6F8"/>
        <bgColor rgb="FFF4F6F8"/>
      </patternFill>
    </fill>
    <fill>
      <patternFill patternType="solid">
        <fgColor rgb="FF7F7F7F"/>
        <bgColor rgb="FF7F7F7F"/>
      </patternFill>
    </fill>
    <fill>
      <patternFill patternType="solid">
        <fgColor rgb="FFB6D7A8"/>
        <bgColor rgb="FFB6D7A8"/>
      </patternFill>
    </fill>
    <fill>
      <patternFill patternType="solid">
        <fgColor rgb="FF196B24"/>
        <bgColor rgb="FF196B24"/>
      </patternFill>
    </fill>
    <fill>
      <patternFill patternType="solid">
        <fgColor rgb="FFF8F9FA"/>
        <bgColor rgb="FFF8F9FA"/>
      </patternFill>
    </fill>
    <fill>
      <patternFill patternType="solid">
        <fgColor rgb="FFF1C232"/>
        <bgColor rgb="FFF1C232"/>
      </patternFill>
    </fill>
    <fill>
      <patternFill patternType="solid">
        <fgColor rgb="FFF9CB9C"/>
        <bgColor rgb="FFF9CB9C"/>
      </patternFill>
    </fill>
    <fill>
      <patternFill patternType="solid">
        <fgColor rgb="FFFFE599"/>
        <bgColor rgb="FFFFE599"/>
      </patternFill>
    </fill>
    <fill>
      <patternFill patternType="solid">
        <fgColor rgb="FFDFE4EC"/>
        <bgColor rgb="FFDFE4EC"/>
      </patternFill>
    </fill>
    <fill>
      <patternFill patternType="solid">
        <fgColor rgb="FF8093B3"/>
        <bgColor rgb="FF8093B3"/>
      </patternFill>
    </fill>
  </fills>
  <borders count="26">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top/>
      <bottom/>
    </border>
    <border>
      <top/>
      <bottom/>
    </border>
    <border>
      <left style="thin">
        <color rgb="FFD9D9D9"/>
      </left>
      <right style="thin">
        <color rgb="FFD9D9D9"/>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000000"/>
      </right>
      <top style="thin">
        <color rgb="FFD9D9D9"/>
      </top>
      <bottom style="thin">
        <color rgb="FFD9D9D9"/>
      </bottom>
    </border>
    <border>
      <left style="thin">
        <color rgb="FF000000"/>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000000"/>
      </left>
    </border>
    <border>
      <right style="thin">
        <color rgb="FF000000"/>
      </right>
    </border>
    <border>
      <left style="thin">
        <color rgb="FF000000"/>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000000"/>
      </right>
      <top style="thin">
        <color rgb="FFD9D9D9"/>
      </top>
      <bottom style="thin">
        <color rgb="FF000000"/>
      </bottom>
    </border>
    <border>
      <right/>
      <top/>
      <bottom/>
    </border>
    <border>
      <left style="thin">
        <color rgb="FFD9D9D9"/>
      </left>
      <right style="thin">
        <color rgb="FFD9D9D9"/>
      </right>
      <bottom style="thin">
        <color rgb="FFD9D9D9"/>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D9D9D9"/>
      </left>
      <right style="thin">
        <color rgb="FFD9D9D9"/>
      </right>
      <top style="thin">
        <color rgb="FFD9D9D9"/>
      </top>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2" fontId="2" numFmtId="0" xfId="0" applyAlignment="1" applyBorder="1" applyFill="1" applyFont="1">
      <alignment horizontal="center" readingOrder="0" vertical="bottom"/>
    </xf>
    <xf borderId="1" fillId="0" fontId="1" numFmtId="0" xfId="0" applyAlignment="1" applyBorder="1" applyFont="1">
      <alignment horizontal="center" readingOrder="0" vertical="bottom"/>
    </xf>
    <xf borderId="1" fillId="0" fontId="1" numFmtId="0" xfId="0" applyAlignment="1" applyBorder="1" applyFont="1">
      <alignment horizontal="center"/>
    </xf>
    <xf borderId="0" fillId="0" fontId="3" numFmtId="0" xfId="0" applyAlignment="1" applyFont="1">
      <alignment readingOrder="0"/>
    </xf>
    <xf borderId="1" fillId="0" fontId="4" numFmtId="0" xfId="0" applyAlignment="1" applyBorder="1" applyFont="1">
      <alignment horizontal="center" readingOrder="0" shrinkToFit="0" vertical="bottom" wrapText="0"/>
    </xf>
    <xf borderId="1" fillId="3" fontId="1" numFmtId="0" xfId="0" applyAlignment="1" applyBorder="1" applyFill="1" applyFont="1">
      <alignment horizontal="center"/>
    </xf>
    <xf borderId="2" fillId="0" fontId="3" numFmtId="0" xfId="0" applyAlignment="1" applyBorder="1" applyFont="1">
      <alignment horizontal="center" readingOrder="0" shrinkToFit="0" vertical="center" wrapText="0"/>
    </xf>
    <xf borderId="1" fillId="4" fontId="1" numFmtId="0" xfId="0" applyAlignment="1" applyBorder="1" applyFill="1" applyFont="1">
      <alignment horizontal="center" readingOrder="0"/>
    </xf>
    <xf borderId="1" fillId="5" fontId="1" numFmtId="0" xfId="0" applyAlignment="1" applyBorder="1" applyFill="1" applyFont="1">
      <alignment horizontal="center" readingOrder="0" vertical="bottom"/>
    </xf>
    <xf borderId="1" fillId="5" fontId="1" numFmtId="0" xfId="0" applyAlignment="1" applyBorder="1" applyFont="1">
      <alignment horizontal="center"/>
    </xf>
    <xf borderId="0" fillId="0" fontId="1" numFmtId="0" xfId="0" applyAlignment="1" applyFont="1">
      <alignment horizontal="center" readingOrder="0"/>
    </xf>
    <xf borderId="0" fillId="0" fontId="1" numFmtId="0" xfId="0" applyFont="1"/>
    <xf borderId="1" fillId="6" fontId="5" numFmtId="0" xfId="0" applyAlignment="1" applyBorder="1" applyFill="1" applyFont="1">
      <alignment horizontal="center" readingOrder="0" vertical="center"/>
    </xf>
    <xf borderId="1" fillId="6" fontId="6" numFmtId="0" xfId="0" applyAlignment="1" applyBorder="1" applyFont="1">
      <alignment horizontal="center" readingOrder="0" vertical="center"/>
    </xf>
    <xf borderId="0" fillId="6" fontId="6" numFmtId="0" xfId="0" applyAlignment="1" applyFont="1">
      <alignment horizontal="center" readingOrder="0" vertical="center"/>
    </xf>
    <xf borderId="1" fillId="0" fontId="7" numFmtId="0" xfId="0" applyAlignment="1" applyBorder="1" applyFont="1">
      <alignment horizontal="center" readingOrder="0" vertical="center"/>
    </xf>
    <xf borderId="1" fillId="0" fontId="7" numFmtId="0" xfId="0" applyAlignment="1" applyBorder="1" applyFont="1">
      <alignment horizontal="center" vertical="center"/>
    </xf>
    <xf borderId="1" fillId="0" fontId="8" numFmtId="0" xfId="0" applyAlignment="1" applyBorder="1" applyFont="1">
      <alignment horizontal="center" readingOrder="0" vertical="center"/>
    </xf>
    <xf borderId="1" fillId="0" fontId="8" numFmtId="0" xfId="0" applyAlignment="1" applyBorder="1" applyFont="1">
      <alignment horizontal="center" vertical="center"/>
    </xf>
    <xf borderId="1" fillId="0" fontId="9" numFmtId="0" xfId="0" applyAlignment="1" applyBorder="1" applyFont="1">
      <alignment horizontal="center" readingOrder="0" vertical="center"/>
    </xf>
    <xf borderId="0" fillId="0" fontId="3" numFmtId="0" xfId="0" applyAlignment="1" applyFont="1">
      <alignment horizontal="center"/>
    </xf>
    <xf borderId="1" fillId="0" fontId="10" numFmtId="0" xfId="0" applyAlignment="1" applyBorder="1" applyFont="1">
      <alignment horizontal="center" readingOrder="0" vertical="center"/>
    </xf>
    <xf borderId="0" fillId="0" fontId="3" numFmtId="0" xfId="0" applyAlignment="1" applyFont="1">
      <alignment horizontal="center" readingOrder="0"/>
    </xf>
    <xf borderId="1" fillId="0" fontId="7" numFmtId="0" xfId="0" applyAlignment="1" applyBorder="1" applyFont="1">
      <alignment horizontal="center" vertical="center"/>
    </xf>
    <xf borderId="1" fillId="0" fontId="11" numFmtId="0" xfId="0" applyAlignment="1" applyBorder="1" applyFont="1">
      <alignment horizontal="center" vertical="center"/>
    </xf>
    <xf borderId="1" fillId="7" fontId="8" numFmtId="0" xfId="0" applyAlignment="1" applyBorder="1" applyFill="1" applyFont="1">
      <alignment horizontal="center" readingOrder="0" vertical="center"/>
    </xf>
    <xf borderId="1" fillId="0" fontId="9" numFmtId="0" xfId="0" applyAlignment="1" applyBorder="1" applyFont="1">
      <alignment horizontal="center" vertical="center"/>
    </xf>
    <xf borderId="1" fillId="8" fontId="7" numFmtId="0" xfId="0" applyAlignment="1" applyBorder="1" applyFill="1" applyFont="1">
      <alignment horizontal="center" readingOrder="0" vertical="center"/>
    </xf>
    <xf borderId="1" fillId="8" fontId="8" numFmtId="0" xfId="0" applyAlignment="1" applyBorder="1" applyFont="1">
      <alignment horizontal="center" readingOrder="0" vertical="center"/>
    </xf>
    <xf borderId="1" fillId="8" fontId="10" numFmtId="0" xfId="0" applyAlignment="1" applyBorder="1" applyFont="1">
      <alignment horizontal="center" readingOrder="0" vertical="center"/>
    </xf>
    <xf borderId="0" fillId="9" fontId="12" numFmtId="0" xfId="0" applyAlignment="1" applyFill="1" applyFont="1">
      <alignment horizontal="center" readingOrder="0" vertical="bottom"/>
    </xf>
    <xf borderId="3" fillId="9" fontId="12" numFmtId="0" xfId="0" applyAlignment="1" applyBorder="1" applyFont="1">
      <alignment horizontal="center" readingOrder="0" vertical="bottom"/>
    </xf>
    <xf borderId="4" fillId="0" fontId="13" numFmtId="0" xfId="0" applyBorder="1" applyFont="1"/>
    <xf borderId="0" fillId="0" fontId="12" numFmtId="0" xfId="0" applyAlignment="1" applyFont="1">
      <alignment horizontal="center" readingOrder="0" vertical="bottom"/>
    </xf>
    <xf borderId="0" fillId="10" fontId="2" numFmtId="0" xfId="0" applyAlignment="1" applyFill="1" applyFont="1">
      <alignment horizontal="center" readingOrder="0" shrinkToFit="0" wrapText="1"/>
    </xf>
    <xf borderId="5" fillId="10" fontId="2" numFmtId="0" xfId="0" applyAlignment="1" applyBorder="1" applyFont="1">
      <alignment horizontal="center" shrinkToFit="0" wrapText="1"/>
    </xf>
    <xf borderId="5" fillId="10" fontId="2" numFmtId="0" xfId="0" applyAlignment="1" applyBorder="1" applyFont="1">
      <alignment horizontal="center" readingOrder="0" shrinkToFit="0" wrapText="1"/>
    </xf>
    <xf borderId="0" fillId="0" fontId="2" numFmtId="0" xfId="0" applyAlignment="1" applyFont="1">
      <alignment horizontal="center" readingOrder="0" shrinkToFit="0" wrapText="1"/>
    </xf>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1" fillId="11" fontId="1" numFmtId="0" xfId="0" applyAlignment="1" applyBorder="1" applyFill="1" applyFont="1">
      <alignment horizontal="center" readingOrder="0" shrinkToFit="0" wrapText="1"/>
    </xf>
    <xf borderId="0" fillId="0" fontId="1" numFmtId="0" xfId="0" applyAlignment="1" applyFont="1">
      <alignment horizontal="center" shrinkToFit="0" wrapText="1"/>
    </xf>
    <xf borderId="1" fillId="8" fontId="1" numFmtId="0" xfId="0" applyAlignment="1" applyBorder="1" applyFont="1">
      <alignment horizontal="center" readingOrder="0" shrinkToFit="0" wrapText="1"/>
    </xf>
    <xf borderId="0" fillId="0" fontId="1" numFmtId="0" xfId="0" applyAlignment="1" applyFont="1">
      <alignment horizontal="center" readingOrder="0" shrinkToFit="0" wrapText="1"/>
    </xf>
    <xf borderId="1" fillId="0" fontId="14" numFmtId="0" xfId="0" applyAlignment="1" applyBorder="1" applyFont="1">
      <alignment horizontal="center" readingOrder="0" shrinkToFit="0" vertical="center" wrapText="1"/>
    </xf>
    <xf borderId="1" fillId="0" fontId="3" numFmtId="0" xfId="0" applyAlignment="1" applyBorder="1" applyFont="1">
      <alignment horizontal="center" readingOrder="0"/>
    </xf>
    <xf borderId="1" fillId="12" fontId="15" numFmtId="0" xfId="0" applyAlignment="1" applyBorder="1" applyFill="1" applyFont="1">
      <alignment horizontal="center"/>
    </xf>
    <xf borderId="1" fillId="12" fontId="15" numFmtId="0" xfId="0" applyAlignment="1" applyBorder="1" applyFont="1">
      <alignment horizontal="center" readingOrder="0"/>
    </xf>
    <xf borderId="1" fillId="13" fontId="3" numFmtId="0" xfId="0" applyAlignment="1" applyBorder="1" applyFill="1" applyFont="1">
      <alignment horizontal="center" readingOrder="0"/>
    </xf>
    <xf borderId="1" fillId="13" fontId="1" numFmtId="0" xfId="0" applyAlignment="1" applyBorder="1" applyFont="1">
      <alignment horizontal="center" readingOrder="0"/>
    </xf>
    <xf borderId="1" fillId="13" fontId="1" numFmtId="0" xfId="0" applyAlignment="1" applyBorder="1" applyFont="1">
      <alignment horizontal="center" readingOrder="0" shrinkToFit="0" wrapText="1"/>
    </xf>
    <xf borderId="1" fillId="0" fontId="1" numFmtId="0" xfId="0" applyAlignment="1" applyBorder="1" applyFont="1">
      <alignment horizontal="center" vertical="bottom"/>
    </xf>
    <xf borderId="1" fillId="12" fontId="15" numFmtId="0" xfId="0" applyAlignment="1" applyBorder="1" applyFont="1">
      <alignment horizontal="center" vertical="bottom"/>
    </xf>
    <xf borderId="1" fillId="12" fontId="15" numFmtId="0" xfId="0" applyAlignment="1" applyBorder="1" applyFont="1">
      <alignment horizontal="center" vertical="bottom"/>
    </xf>
    <xf borderId="6" fillId="14" fontId="12" numFmtId="0" xfId="0" applyAlignment="1" applyBorder="1" applyFill="1" applyFont="1">
      <alignment horizontal="center" readingOrder="0"/>
    </xf>
    <xf borderId="7" fillId="0" fontId="13" numFmtId="0" xfId="0" applyBorder="1" applyFont="1"/>
    <xf borderId="8" fillId="0" fontId="13" numFmtId="0" xfId="0" applyBorder="1" applyFont="1"/>
    <xf borderId="9" fillId="15" fontId="2" numFmtId="0" xfId="0" applyAlignment="1" applyBorder="1" applyFill="1" applyFont="1">
      <alignment horizontal="center"/>
    </xf>
    <xf borderId="10" fillId="0" fontId="13" numFmtId="0" xfId="0" applyBorder="1" applyFont="1"/>
    <xf borderId="11" fillId="15" fontId="2" numFmtId="0" xfId="0" applyAlignment="1" applyBorder="1" applyFont="1">
      <alignment horizontal="center"/>
    </xf>
    <xf borderId="12" fillId="0" fontId="13" numFmtId="0" xfId="0" applyBorder="1" applyFont="1"/>
    <xf borderId="13" fillId="16" fontId="2" numFmtId="0" xfId="0" applyAlignment="1" applyBorder="1" applyFill="1" applyFont="1">
      <alignment horizontal="center" shrinkToFit="0" wrapText="1"/>
    </xf>
    <xf borderId="14" fillId="16" fontId="2" numFmtId="0" xfId="0" applyAlignment="1" applyBorder="1" applyFont="1">
      <alignment horizontal="center" shrinkToFit="0" wrapText="1"/>
    </xf>
    <xf borderId="15" fillId="16" fontId="2" numFmtId="0" xfId="0" applyAlignment="1" applyBorder="1" applyFont="1">
      <alignment horizontal="center" shrinkToFit="0" wrapText="1"/>
    </xf>
    <xf borderId="13" fillId="0" fontId="1" numFmtId="0" xfId="0" applyAlignment="1" applyBorder="1" applyFont="1">
      <alignment shrinkToFit="0" wrapText="1"/>
    </xf>
    <xf borderId="14" fillId="17" fontId="1" numFmtId="0" xfId="0" applyAlignment="1" applyBorder="1" applyFill="1" applyFont="1">
      <alignment horizontal="center" readingOrder="0"/>
    </xf>
    <xf borderId="14" fillId="0" fontId="1" numFmtId="0" xfId="0" applyAlignment="1" applyBorder="1" applyFont="1">
      <alignment shrinkToFit="0" wrapText="1"/>
    </xf>
    <xf borderId="14" fillId="18" fontId="1" numFmtId="0" xfId="0" applyAlignment="1" applyBorder="1" applyFill="1" applyFont="1">
      <alignment horizontal="center" readingOrder="0"/>
    </xf>
    <xf borderId="15" fillId="17" fontId="1" numFmtId="0" xfId="0" applyAlignment="1" applyBorder="1" applyFont="1">
      <alignment horizontal="center"/>
    </xf>
    <xf borderId="14" fillId="0" fontId="1" numFmtId="0" xfId="0" applyAlignment="1" applyBorder="1" applyFont="1">
      <alignment vertical="bottom"/>
    </xf>
    <xf borderId="14" fillId="19" fontId="1" numFmtId="0" xfId="0" applyAlignment="1" applyBorder="1" applyFill="1" applyFont="1">
      <alignment vertical="bottom"/>
    </xf>
    <xf borderId="15" fillId="19" fontId="1" numFmtId="0" xfId="0" applyAlignment="1" applyBorder="1" applyFont="1">
      <alignment vertical="bottom"/>
    </xf>
    <xf borderId="13" fillId="19" fontId="1" numFmtId="0" xfId="0" applyAlignment="1" applyBorder="1" applyFont="1">
      <alignment vertical="bottom"/>
    </xf>
    <xf borderId="16" fillId="0" fontId="1" numFmtId="0" xfId="0" applyAlignment="1" applyBorder="1" applyFont="1">
      <alignment vertical="bottom"/>
    </xf>
    <xf borderId="0" fillId="0" fontId="1" numFmtId="0" xfId="0" applyAlignment="1" applyFont="1">
      <alignment vertical="bottom"/>
    </xf>
    <xf borderId="17" fillId="0" fontId="1" numFmtId="0" xfId="0" applyAlignment="1" applyBorder="1" applyFont="1">
      <alignment vertical="bottom"/>
    </xf>
    <xf borderId="13" fillId="14" fontId="2" numFmtId="0" xfId="0" applyAlignment="1" applyBorder="1" applyFont="1">
      <alignment horizontal="center" vertical="bottom"/>
    </xf>
    <xf borderId="14" fillId="0" fontId="15" numFmtId="9" xfId="0" applyAlignment="1" applyBorder="1" applyFont="1" applyNumberFormat="1">
      <alignment horizontal="center" vertical="bottom"/>
    </xf>
    <xf borderId="14" fillId="14" fontId="2" numFmtId="0" xfId="0" applyAlignment="1" applyBorder="1" applyFont="1">
      <alignment horizontal="center" vertical="bottom"/>
    </xf>
    <xf borderId="15" fillId="0" fontId="15" numFmtId="9" xfId="0" applyAlignment="1" applyBorder="1" applyFont="1" applyNumberFormat="1">
      <alignment horizontal="center" vertical="bottom"/>
    </xf>
    <xf borderId="18" fillId="14" fontId="2" numFmtId="0" xfId="0" applyAlignment="1" applyBorder="1" applyFont="1">
      <alignment horizontal="center" vertical="bottom"/>
    </xf>
    <xf borderId="19" fillId="20" fontId="15" numFmtId="0" xfId="0" applyAlignment="1" applyBorder="1" applyFill="1" applyFont="1">
      <alignment horizontal="center" vertical="bottom"/>
    </xf>
    <xf borderId="19" fillId="14" fontId="2" numFmtId="0" xfId="0" applyAlignment="1" applyBorder="1" applyFont="1">
      <alignment horizontal="center" vertical="bottom"/>
    </xf>
    <xf borderId="19" fillId="18" fontId="15" numFmtId="0" xfId="0" applyAlignment="1" applyBorder="1" applyFont="1">
      <alignment horizontal="center" vertical="bottom"/>
    </xf>
    <xf borderId="20" fillId="20" fontId="15" numFmtId="0" xfId="0" applyAlignment="1" applyBorder="1" applyFont="1">
      <alignment horizontal="center" vertical="bottom"/>
    </xf>
    <xf borderId="3" fillId="14" fontId="12" numFmtId="0" xfId="0" applyAlignment="1" applyBorder="1" applyFont="1">
      <alignment horizontal="center" readingOrder="0" vertical="bottom"/>
    </xf>
    <xf borderId="21" fillId="0" fontId="13" numFmtId="0" xfId="0" applyBorder="1" applyFont="1"/>
    <xf borderId="22" fillId="15" fontId="2" numFmtId="0" xfId="0" applyAlignment="1" applyBorder="1" applyFont="1">
      <alignment horizontal="center"/>
    </xf>
    <xf borderId="5" fillId="15" fontId="2" numFmtId="0" xfId="0" applyAlignment="1" applyBorder="1" applyFont="1">
      <alignment horizontal="center"/>
    </xf>
    <xf borderId="14" fillId="0" fontId="1" numFmtId="0" xfId="0" applyAlignment="1" applyBorder="1" applyFont="1">
      <alignment horizontal="center"/>
    </xf>
    <xf borderId="11" fillId="17" fontId="1" numFmtId="0" xfId="0" applyAlignment="1" applyBorder="1" applyFont="1">
      <alignment horizontal="center" readingOrder="0"/>
    </xf>
    <xf borderId="1" fillId="19" fontId="1" numFmtId="0" xfId="0" applyAlignment="1" applyBorder="1" applyFont="1">
      <alignment readingOrder="0" vertical="bottom"/>
    </xf>
    <xf borderId="10" fillId="0" fontId="15" numFmtId="9" xfId="0" applyAlignment="1" applyBorder="1" applyFont="1" applyNumberFormat="1">
      <alignment horizontal="center" vertical="bottom"/>
    </xf>
    <xf borderId="11" fillId="17" fontId="1" numFmtId="0" xfId="0" applyAlignment="1" applyBorder="1" applyFont="1">
      <alignment horizontal="center"/>
    </xf>
    <xf borderId="1" fillId="2" fontId="16" numFmtId="164" xfId="0" applyAlignment="1" applyBorder="1" applyFont="1" applyNumberFormat="1">
      <alignment horizontal="center" vertical="bottom"/>
    </xf>
    <xf borderId="0" fillId="2" fontId="1" numFmtId="164" xfId="0" applyAlignment="1" applyFont="1" applyNumberFormat="1">
      <alignment vertical="bottom"/>
    </xf>
    <xf borderId="1" fillId="2" fontId="1" numFmtId="164" xfId="0" applyAlignment="1" applyBorder="1" applyFont="1" applyNumberFormat="1">
      <alignment vertical="bottom"/>
    </xf>
    <xf borderId="1" fillId="2" fontId="16" numFmtId="0" xfId="0" applyAlignment="1" applyBorder="1" applyFont="1">
      <alignment horizontal="center" vertical="bottom"/>
    </xf>
    <xf borderId="0" fillId="0" fontId="1" numFmtId="0" xfId="0" applyAlignment="1" applyFont="1">
      <alignment horizontal="center" vertical="bottom"/>
    </xf>
    <xf borderId="1" fillId="2" fontId="1" numFmtId="0" xfId="0" applyAlignment="1" applyBorder="1" applyFont="1">
      <alignment vertical="bottom"/>
    </xf>
    <xf borderId="0" fillId="2" fontId="17" numFmtId="0" xfId="0" applyAlignment="1" applyFont="1">
      <alignment horizontal="center" shrinkToFit="0" vertical="bottom" wrapText="1"/>
    </xf>
    <xf borderId="1" fillId="7" fontId="1" numFmtId="49" xfId="0" applyAlignment="1" applyBorder="1" applyFont="1" applyNumberFormat="1">
      <alignment shrinkToFit="0" vertical="bottom" wrapText="1"/>
    </xf>
    <xf borderId="1" fillId="21" fontId="1" numFmtId="0" xfId="0" applyAlignment="1" applyBorder="1" applyFill="1" applyFont="1">
      <alignment horizontal="center" shrinkToFit="0" vertical="bottom" wrapText="1"/>
    </xf>
    <xf borderId="1" fillId="0" fontId="1" numFmtId="0" xfId="0" applyAlignment="1" applyBorder="1" applyFont="1">
      <alignment horizontal="center" shrinkToFit="0" vertical="bottom" wrapText="1"/>
    </xf>
    <xf borderId="1" fillId="3" fontId="1" numFmtId="0" xfId="0" applyAlignment="1" applyBorder="1" applyFont="1">
      <alignment horizontal="center" shrinkToFit="0" vertical="bottom" wrapText="1"/>
    </xf>
    <xf borderId="1" fillId="0" fontId="1" numFmtId="0" xfId="0" applyAlignment="1" applyBorder="1" applyFont="1">
      <alignment vertical="bottom"/>
    </xf>
    <xf borderId="1" fillId="0" fontId="1" numFmtId="49" xfId="0" applyAlignment="1" applyBorder="1" applyFont="1" applyNumberFormat="1">
      <alignment shrinkToFit="0" vertical="bottom" wrapText="1"/>
    </xf>
    <xf borderId="1" fillId="7" fontId="1" numFmtId="0" xfId="0" applyAlignment="1" applyBorder="1" applyFont="1">
      <alignment horizontal="center" shrinkToFit="0" vertical="bottom" wrapText="1"/>
    </xf>
    <xf borderId="0" fillId="7" fontId="1" numFmtId="0" xfId="0" applyAlignment="1" applyFont="1">
      <alignment vertical="bottom"/>
    </xf>
    <xf borderId="0" fillId="0" fontId="1" numFmtId="49" xfId="0" applyAlignment="1" applyFont="1" applyNumberFormat="1">
      <alignment shrinkToFit="0" vertical="bottom" wrapText="1"/>
    </xf>
    <xf borderId="1" fillId="0" fontId="18" numFmtId="0" xfId="0" applyAlignment="1" applyBorder="1" applyFont="1">
      <alignment shrinkToFit="0" vertical="bottom" wrapText="1"/>
    </xf>
    <xf borderId="1" fillId="8" fontId="1" numFmtId="0" xfId="0" applyAlignment="1" applyBorder="1" applyFont="1">
      <alignment horizontal="center" shrinkToFit="0" vertical="bottom" wrapText="1"/>
    </xf>
    <xf borderId="1" fillId="22" fontId="1" numFmtId="0" xfId="0" applyAlignment="1" applyBorder="1" applyFill="1" applyFont="1">
      <alignment horizontal="center" shrinkToFit="0" vertical="bottom" wrapText="1"/>
    </xf>
    <xf borderId="1" fillId="23" fontId="1" numFmtId="0" xfId="0" applyAlignment="1" applyBorder="1" applyFill="1" applyFont="1">
      <alignment horizontal="center" shrinkToFit="0" vertical="bottom" wrapText="1"/>
    </xf>
    <xf borderId="0" fillId="0" fontId="1" numFmtId="0" xfId="0" applyAlignment="1" applyFont="1">
      <alignment horizontal="center" shrinkToFit="0" vertical="bottom" wrapText="1"/>
    </xf>
    <xf borderId="0" fillId="7" fontId="1" numFmtId="49" xfId="0" applyAlignment="1" applyFont="1" applyNumberFormat="1">
      <alignment shrinkToFit="0" vertical="bottom" wrapText="1"/>
    </xf>
    <xf borderId="1" fillId="24" fontId="1" numFmtId="0" xfId="0" applyAlignment="1" applyBorder="1" applyFill="1" applyFont="1">
      <alignment horizontal="center" shrinkToFit="0" vertical="bottom" wrapText="1"/>
    </xf>
    <xf borderId="1" fillId="25" fontId="1" numFmtId="0" xfId="0" applyAlignment="1" applyBorder="1" applyFill="1" applyFont="1">
      <alignment horizontal="center" shrinkToFit="0" vertical="bottom" wrapText="1"/>
    </xf>
    <xf borderId="1" fillId="26" fontId="1" numFmtId="0" xfId="0" applyAlignment="1" applyBorder="1" applyFill="1" applyFont="1">
      <alignment horizontal="center" shrinkToFit="0" vertical="bottom" wrapText="1"/>
    </xf>
    <xf borderId="0" fillId="2" fontId="1" numFmtId="0" xfId="0" applyFont="1"/>
    <xf borderId="0" fillId="2" fontId="17" numFmtId="0" xfId="0" applyAlignment="1" applyFont="1">
      <alignment shrinkToFit="0" wrapText="1"/>
    </xf>
    <xf borderId="1" fillId="0" fontId="14" numFmtId="0" xfId="0" applyAlignment="1" applyBorder="1" applyFont="1">
      <alignment shrinkToFit="0" vertical="bottom" wrapText="1"/>
    </xf>
    <xf borderId="23" fillId="21" fontId="1" numFmtId="0" xfId="0" applyAlignment="1" applyBorder="1" applyFont="1">
      <alignment horizontal="center" shrinkToFit="0" vertical="bottom" wrapText="1"/>
    </xf>
    <xf borderId="24" fillId="0" fontId="1" numFmtId="0" xfId="0" applyAlignment="1" applyBorder="1" applyFont="1">
      <alignment horizontal="center" shrinkToFit="0" vertical="bottom" wrapText="1"/>
    </xf>
    <xf borderId="1" fillId="0" fontId="1" numFmtId="0" xfId="0" applyAlignment="1" applyBorder="1" applyFont="1">
      <alignment shrinkToFit="0" vertical="bottom" wrapText="1"/>
    </xf>
    <xf borderId="24" fillId="7" fontId="1" numFmtId="0" xfId="0" applyAlignment="1" applyBorder="1" applyFont="1">
      <alignment horizontal="center" shrinkToFit="0" vertical="bottom" wrapText="1"/>
    </xf>
    <xf borderId="0" fillId="9" fontId="12" numFmtId="0" xfId="0" applyAlignment="1" applyFont="1">
      <alignment horizontal="center" vertical="bottom"/>
    </xf>
    <xf borderId="3" fillId="9" fontId="12" numFmtId="0" xfId="0" applyAlignment="1" applyBorder="1" applyFont="1">
      <alignment horizontal="center" vertical="bottom"/>
    </xf>
    <xf borderId="21" fillId="27" fontId="12" numFmtId="0" xfId="0" applyAlignment="1" applyBorder="1" applyFill="1" applyFont="1">
      <alignment horizontal="center" readingOrder="0" vertical="bottom"/>
    </xf>
    <xf borderId="0" fillId="27" fontId="12" numFmtId="0" xfId="0" applyAlignment="1" applyFont="1">
      <alignment horizontal="center" readingOrder="0" vertical="bottom"/>
    </xf>
    <xf borderId="0" fillId="10" fontId="2" numFmtId="0" xfId="0" applyAlignment="1" applyFont="1">
      <alignment horizontal="center" shrinkToFit="0" wrapText="1"/>
    </xf>
    <xf borderId="14" fillId="10" fontId="2" numFmtId="0" xfId="0" applyAlignment="1" applyBorder="1" applyFont="1">
      <alignment horizontal="center" shrinkToFit="0" wrapText="1"/>
    </xf>
    <xf borderId="14" fillId="12" fontId="15" numFmtId="0" xfId="0" applyAlignment="1" applyBorder="1" applyFont="1">
      <alignment horizontal="center"/>
    </xf>
    <xf borderId="14" fillId="28" fontId="1" numFmtId="0" xfId="0" applyBorder="1" applyFill="1" applyFont="1"/>
    <xf borderId="14" fillId="18" fontId="19" numFmtId="0" xfId="0" applyAlignment="1" applyBorder="1" applyFont="1">
      <alignment horizontal="center"/>
    </xf>
    <xf borderId="14" fillId="0" fontId="1" numFmtId="0" xfId="0" applyAlignment="1" applyBorder="1" applyFont="1">
      <alignment horizontal="center" readingOrder="0"/>
    </xf>
    <xf borderId="25" fillId="0" fontId="1" numFmtId="0" xfId="0" applyAlignment="1" applyBorder="1" applyFont="1">
      <alignment horizontal="center"/>
    </xf>
    <xf borderId="0" fillId="0" fontId="1" numFmtId="0" xfId="0" applyAlignment="1" applyFont="1">
      <alignment horizontal="center"/>
    </xf>
    <xf borderId="10" fillId="12" fontId="15" numFmtId="0" xfId="0" applyAlignment="1" applyBorder="1" applyFont="1">
      <alignment horizontal="center"/>
    </xf>
    <xf borderId="0" fillId="0" fontId="14" numFmtId="0" xfId="0" applyAlignment="1" applyFont="1">
      <alignment horizontal="center" readingOrder="0" shrinkToFit="0" vertical="center" wrapText="0"/>
    </xf>
    <xf borderId="22" fillId="0" fontId="1" numFmtId="0" xfId="0" applyAlignment="1" applyBorder="1" applyFont="1">
      <alignment horizontal="center"/>
    </xf>
    <xf borderId="1" fillId="0" fontId="3" numFmtId="0" xfId="0" applyAlignment="1" applyBorder="1" applyFont="1">
      <alignment horizontal="center"/>
    </xf>
    <xf borderId="0" fillId="0" fontId="3" numFmtId="0" xfId="0" applyFont="1"/>
    <xf borderId="3" fillId="9" fontId="12" numFmtId="0" xfId="0" applyAlignment="1" applyBorder="1" applyFont="1">
      <alignment horizontal="center" vertical="bottom"/>
    </xf>
    <xf borderId="14" fillId="10" fontId="2" numFmtId="0" xfId="0" applyAlignment="1" applyBorder="1" applyFont="1">
      <alignment horizontal="center" shrinkToFit="0" wrapText="1"/>
    </xf>
    <xf borderId="14" fillId="12" fontId="15" numFmtId="0" xfId="0" applyAlignment="1" applyBorder="1" applyFont="1">
      <alignment horizontal="center"/>
    </xf>
    <xf borderId="14" fillId="5" fontId="1" numFmtId="0" xfId="0" applyAlignment="1" applyBorder="1" applyFont="1">
      <alignment horizontal="center"/>
    </xf>
    <xf borderId="14" fillId="25" fontId="1" numFmtId="0" xfId="0" applyAlignment="1" applyBorder="1" applyFont="1">
      <alignment horizontal="center"/>
    </xf>
    <xf borderId="14" fillId="0" fontId="1" numFmtId="0" xfId="0" applyAlignment="1" applyBorder="1" applyFont="1">
      <alignment horizontal="center" vertical="bottom"/>
    </xf>
    <xf borderId="14" fillId="12" fontId="15" numFmtId="0" xfId="0" applyAlignment="1" applyBorder="1" applyFont="1">
      <alignment horizontal="center" vertical="bottom"/>
    </xf>
    <xf borderId="14" fillId="18" fontId="19" numFmtId="0" xfId="0" applyAlignment="1" applyBorder="1" applyFont="1">
      <alignment horizontal="center" vertical="bottom"/>
    </xf>
    <xf borderId="14" fillId="12" fontId="15" numFmtId="0" xfId="0" applyAlignment="1" applyBorder="1" applyFont="1">
      <alignment horizontal="center" vertical="bottom"/>
    </xf>
    <xf borderId="1" fillId="29" fontId="20" numFmtId="0" xfId="0" applyAlignment="1" applyBorder="1" applyFill="1" applyFont="1">
      <alignment horizontal="center" shrinkToFit="0" wrapText="1"/>
    </xf>
    <xf borderId="1" fillId="29" fontId="21" numFmtId="0" xfId="0" applyAlignment="1" applyBorder="1" applyFont="1">
      <alignment horizontal="center" shrinkToFit="0" wrapText="1"/>
    </xf>
    <xf borderId="1" fillId="29" fontId="22" numFmtId="0" xfId="0" applyAlignment="1" applyBorder="1" applyFont="1">
      <alignment vertical="bottom"/>
    </xf>
    <xf borderId="1" fillId="29" fontId="22" numFmtId="0" xfId="0" applyAlignment="1" applyBorder="1" applyFont="1">
      <alignment vertical="bottom"/>
    </xf>
    <xf borderId="1" fillId="13" fontId="23" numFmtId="0" xfId="0" applyAlignment="1" applyBorder="1" applyFont="1">
      <alignment horizontal="center" shrinkToFit="0" vertical="bottom" wrapText="1"/>
    </xf>
    <xf borderId="1" fillId="30" fontId="24" numFmtId="0" xfId="0" applyAlignment="1" applyBorder="1" applyFill="1" applyFont="1">
      <alignment horizontal="center" shrinkToFit="0" vertical="bottom" wrapText="1"/>
    </xf>
    <xf borderId="1" fillId="30" fontId="25" numFmtId="0" xfId="0" applyAlignment="1" applyBorder="1" applyFont="1">
      <alignment horizontal="center" shrinkToFit="0" vertical="bottom" wrapText="1"/>
    </xf>
    <xf borderId="1" fillId="30" fontId="26" numFmtId="0" xfId="0" applyAlignment="1" applyBorder="1" applyFont="1">
      <alignment vertical="bottom"/>
    </xf>
    <xf borderId="1" fillId="30" fontId="27" numFmtId="0" xfId="0" applyAlignment="1" applyBorder="1" applyFont="1">
      <alignment shrinkToFit="0" wrapText="1"/>
    </xf>
    <xf borderId="1" fillId="30" fontId="27" numFmtId="0" xfId="0" applyAlignment="1" applyBorder="1" applyFont="1">
      <alignment horizontal="right" shrinkToFit="0" wrapText="1"/>
    </xf>
    <xf borderId="1" fillId="13" fontId="18" numFmtId="0" xfId="0" applyAlignment="1" applyBorder="1" applyFont="1">
      <alignment horizontal="center" shrinkToFit="0" vertical="bottom" wrapText="1"/>
    </xf>
    <xf borderId="1" fillId="31" fontId="18" numFmtId="0" xfId="0" applyAlignment="1" applyBorder="1" applyFill="1" applyFont="1">
      <alignment horizontal="center" shrinkToFit="0" vertical="bottom" wrapText="1"/>
    </xf>
    <xf borderId="1" fillId="7" fontId="24" numFmtId="0" xfId="0" applyAlignment="1" applyBorder="1" applyFont="1">
      <alignment horizontal="center" shrinkToFit="0" vertical="bottom" wrapText="1"/>
    </xf>
    <xf borderId="1" fillId="7" fontId="25" numFmtId="0" xfId="0" applyAlignment="1" applyBorder="1" applyFont="1">
      <alignment horizontal="center" shrinkToFit="0" vertical="bottom" wrapText="1"/>
    </xf>
    <xf borderId="1" fillId="0" fontId="26" numFmtId="0" xfId="0" applyAlignment="1" applyBorder="1" applyFont="1">
      <alignment vertical="bottom"/>
    </xf>
    <xf borderId="1" fillId="7" fontId="27" numFmtId="0" xfId="0" applyAlignment="1" applyBorder="1" applyFont="1">
      <alignment shrinkToFit="0" wrapText="1"/>
    </xf>
    <xf borderId="1" fillId="32" fontId="27" numFmtId="0" xfId="0" applyAlignment="1" applyBorder="1" applyFill="1" applyFont="1">
      <alignment shrinkToFit="0" wrapText="1"/>
    </xf>
    <xf borderId="1" fillId="32" fontId="27" numFmtId="0" xfId="0" applyAlignment="1" applyBorder="1" applyFont="1">
      <alignment horizontal="right" shrinkToFit="0" wrapText="1"/>
    </xf>
    <xf borderId="1" fillId="33" fontId="25" numFmtId="0" xfId="0" applyAlignment="1" applyBorder="1" applyFill="1" applyFont="1">
      <alignment horizontal="center" shrinkToFit="0" vertical="bottom" wrapText="1"/>
    </xf>
    <xf borderId="1" fillId="7" fontId="27" numFmtId="0" xfId="0" applyAlignment="1" applyBorder="1" applyFont="1">
      <alignment horizontal="right" shrinkToFit="0" wrapText="1"/>
    </xf>
    <xf borderId="1" fillId="13" fontId="24" numFmtId="0" xfId="0" applyAlignment="1" applyBorder="1" applyFont="1">
      <alignment horizontal="center" shrinkToFit="0" vertical="bottom" wrapText="1"/>
    </xf>
    <xf borderId="1" fillId="13" fontId="25" numFmtId="0" xfId="0" applyAlignment="1" applyBorder="1" applyFont="1">
      <alignment horizontal="center" shrinkToFit="0" vertical="bottom" wrapText="1"/>
    </xf>
    <xf borderId="1" fillId="13" fontId="26" numFmtId="0" xfId="0" applyAlignment="1" applyBorder="1" applyFont="1">
      <alignment vertical="bottom"/>
    </xf>
    <xf borderId="1" fillId="13" fontId="27" numFmtId="0" xfId="0" applyAlignment="1" applyBorder="1" applyFont="1">
      <alignment shrinkToFit="0" wrapText="1"/>
    </xf>
    <xf borderId="1" fillId="13" fontId="27" numFmtId="0" xfId="0" applyAlignment="1" applyBorder="1" applyFont="1">
      <alignment horizontal="right" shrinkToFit="0" wrapText="1"/>
    </xf>
    <xf borderId="1" fillId="30" fontId="18" numFmtId="0" xfId="0" applyAlignment="1" applyBorder="1" applyFont="1">
      <alignment horizontal="center" shrinkToFit="0" vertical="bottom" wrapText="1"/>
    </xf>
    <xf borderId="1" fillId="2" fontId="28" numFmtId="0" xfId="0" applyAlignment="1" applyBorder="1" applyFont="1">
      <alignment horizontal="center" readingOrder="0"/>
    </xf>
    <xf borderId="1" fillId="0" fontId="1" numFmtId="165" xfId="0" applyAlignment="1" applyBorder="1" applyFont="1" applyNumberFormat="1">
      <alignment horizontal="center" readingOrder="0"/>
    </xf>
    <xf borderId="1" fillId="8" fontId="1" numFmtId="0" xfId="0" applyAlignment="1" applyBorder="1" applyFont="1">
      <alignment horizontal="center" readingOrder="0"/>
    </xf>
    <xf borderId="0" fillId="7" fontId="29" numFmtId="0" xfId="0" applyAlignment="1" applyFont="1">
      <alignment horizontal="center" readingOrder="0"/>
    </xf>
    <xf borderId="1" fillId="34" fontId="1" numFmtId="0" xfId="0" applyAlignment="1" applyBorder="1" applyFill="1" applyFont="1">
      <alignment horizontal="center" readingOrder="0"/>
    </xf>
    <xf borderId="0" fillId="0" fontId="3" numFmtId="166" xfId="0" applyAlignment="1" applyFont="1" applyNumberFormat="1">
      <alignment horizontal="center" readingOrder="0"/>
    </xf>
    <xf borderId="1" fillId="7" fontId="1" numFmtId="0" xfId="0" applyAlignment="1" applyBorder="1" applyFont="1">
      <alignment horizontal="center" readingOrder="0" vertical="bottom"/>
    </xf>
    <xf borderId="1" fillId="7" fontId="1" numFmtId="0" xfId="0" applyAlignment="1" applyBorder="1" applyFont="1">
      <alignment horizontal="center" readingOrder="0"/>
    </xf>
    <xf borderId="0" fillId="7" fontId="3" numFmtId="0" xfId="0" applyFont="1"/>
    <xf borderId="1" fillId="35" fontId="1" numFmtId="0" xfId="0" applyAlignment="1" applyBorder="1" applyFill="1" applyFont="1">
      <alignment horizontal="center" readingOrder="0"/>
    </xf>
    <xf borderId="0" fillId="36" fontId="30" numFmtId="0" xfId="0" applyAlignment="1" applyFill="1" applyFont="1">
      <alignment horizontal="center" readingOrder="0" shrinkToFit="0" vertical="center" wrapText="1"/>
    </xf>
    <xf borderId="1" fillId="36" fontId="30" numFmtId="0" xfId="0" applyAlignment="1" applyBorder="1" applyFont="1">
      <alignment horizontal="center" shrinkToFit="0" vertical="bottom" wrapText="1"/>
    </xf>
    <xf borderId="1" fillId="37" fontId="31" numFmtId="0" xfId="0" applyAlignment="1" applyBorder="1" applyFill="1" applyFont="1">
      <alignment horizontal="center" readingOrder="0" shrinkToFit="0" vertical="bottom" wrapText="1"/>
    </xf>
    <xf borderId="1" fillId="28" fontId="18" numFmtId="0" xfId="0" applyAlignment="1" applyBorder="1" applyFont="1">
      <alignment horizontal="center" vertical="bottom"/>
    </xf>
    <xf borderId="1" fillId="7" fontId="18" numFmtId="0" xfId="0" applyAlignment="1" applyBorder="1" applyFont="1">
      <alignment horizontal="center" vertical="bottom"/>
    </xf>
    <xf borderId="1" fillId="7" fontId="18" numFmtId="0" xfId="0" applyAlignment="1" applyBorder="1" applyFont="1">
      <alignment horizontal="center" readingOrder="0" vertical="bottom"/>
    </xf>
    <xf borderId="1" fillId="28" fontId="18" numFmtId="0" xfId="0" applyAlignment="1" applyBorder="1" applyFont="1">
      <alignment horizontal="center" readingOrder="0" vertical="bottom"/>
    </xf>
    <xf borderId="1" fillId="36" fontId="32" numFmtId="0" xfId="0" applyAlignment="1" applyBorder="1" applyFont="1">
      <alignment horizontal="center" vertical="bottom"/>
    </xf>
  </cellXfs>
  <cellStyles count="1">
    <cellStyle xfId="0" name="Normal" builtinId="0"/>
  </cellStyles>
  <dxfs count="5">
    <dxf>
      <font/>
      <fill>
        <patternFill patternType="solid">
          <fgColor rgb="FFB7E1CD"/>
          <bgColor rgb="FFB7E1CD"/>
        </patternFill>
      </fill>
      <border/>
    </dxf>
    <dxf>
      <font/>
      <fill>
        <patternFill patternType="solid">
          <fgColor rgb="FFD3766A"/>
          <bgColor rgb="FFD3766A"/>
        </patternFill>
      </fill>
      <border/>
    </dxf>
    <dxf>
      <font/>
      <fill>
        <patternFill patternType="solid">
          <fgColor rgb="FFEA9999"/>
          <bgColor rgb="FFEA9999"/>
        </patternFill>
      </fill>
      <border/>
    </dxf>
    <dxf>
      <font/>
      <fill>
        <patternFill patternType="solid">
          <fgColor rgb="FFB6D7A8"/>
          <bgColor rgb="FFB6D7A8"/>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ony Mendez" id="{ca63a37f-eb5a-42b5-bbc9-b1a6794a00b8}"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AD75" sheet="CItaciones FH"/>
  </cacheSource>
  <cacheFields>
    <cacheField name="Local" numFmtId="0">
      <sharedItems>
        <s v="L58"/>
        <s v="L58(l983)"/>
        <s v="L94"/>
        <s v="L98"/>
        <s v="L99"/>
        <s v="L120"/>
        <s v="L121"/>
        <s v="L608"/>
        <s v="L618"/>
        <s v="L657"/>
      </sharedItems>
    </cacheField>
    <cacheField name="Patente" numFmtId="0">
      <sharedItems>
        <s v="SYSS70"/>
        <s v="PPWY63"/>
        <s v="SRYH57"/>
        <s v="STWR86"/>
        <s v="TPXY11"/>
        <s v="VHSW61"/>
        <s v="TVZC13"/>
        <s v="DLCB16"/>
        <s v="SVLY73"/>
        <s v="TSTP28"/>
        <s v="TRYL78"/>
        <s v="VJPH80"/>
        <s v="VJWK44"/>
        <s v="VGWW22"/>
        <s v="LRXY26"/>
        <s v="PGHD38"/>
        <s v="VJRT63"/>
        <s v="KSXP45"/>
        <s v="RTTR83"/>
        <s v="SDYY74"/>
        <s v="TRPP43"/>
        <s v="VKJF15"/>
        <s v="RDLW17"/>
        <s v="PCFZ21"/>
        <s v="VDSH17"/>
        <s v="PRFC70"/>
        <s v="RBYF40"/>
        <s v="RPWK21"/>
        <s v="SKXW43"/>
        <s v="TJDR58"/>
        <s v="LSVH23"/>
        <s v="PCJZ43"/>
        <s v="LHZW29"/>
        <s v="VJWK40"/>
        <s v="VJWK39"/>
        <s v="JTYF43"/>
        <s v="LLXD43"/>
        <s v="VJPH72"/>
        <s v="VJPH79"/>
        <s v="LCWT89"/>
        <s v="KKJZ64"/>
        <s v="HZRX80"/>
        <s v="KCHJ51"/>
        <s v="KYSJ80"/>
        <s v="TSCT51"/>
        <s v="LHVR22"/>
        <s v="RYJR47"/>
        <s v="TZCH26"/>
        <s v="KZZY17"/>
        <s v="PGJL89"/>
        <s v="RXTL44"/>
        <s v="TRYL82"/>
        <s v="VLHB59"/>
        <s v="VDZC94"/>
        <s v="PTGD93"/>
        <s v="CJJY36"/>
        <s v="TYWH80"/>
        <s v="SBTV68"/>
        <s v="VSGW69"/>
        <s v="PSLP82"/>
        <s v="TWRJ22"/>
        <s v="TFBY52"/>
        <s v="VKDZ87"/>
        <s v="JSTD66"/>
        <s v="KXDX77"/>
        <s v="FZKB60"/>
        <s v="VJWK43"/>
        <s v="KZZY13"/>
        <s v="VJPH71"/>
        <s v="VJPJ18"/>
        <s v="VKFD45"/>
        <s v="JSSK36"/>
        <s v="KGVB33"/>
      </sharedItems>
    </cacheField>
    <cacheField name="Total días activos" numFmtId="0">
      <sharedItems containsString="0" containsBlank="1" containsNumber="1" containsInteger="1">
        <n v="14.0"/>
        <n v="11.0"/>
        <n v="10.0"/>
        <n v="7.0"/>
        <n v="6.0"/>
        <n v="5.0"/>
        <n v="2.0"/>
        <n v="0.0"/>
        <n v="15.0"/>
        <n v="13.0"/>
        <n v="8.0"/>
        <m/>
        <n v="12.0"/>
        <n v="3.0"/>
        <n v="17.0"/>
        <n v="16.0"/>
        <n v="9.0"/>
        <n v="4.0"/>
        <n v="18.0"/>
      </sharedItems>
    </cacheField>
    <cacheField name="Vie 01" numFmtId="0">
      <sharedItems containsString="0" containsBlank="1">
        <m/>
      </sharedItems>
    </cacheField>
    <cacheField name="Sáb 02" numFmtId="0">
      <sharedItems containsBlank="1">
        <s v="X"/>
        <m/>
      </sharedItems>
    </cacheField>
    <cacheField name="Dom 03" numFmtId="0">
      <sharedItems containsBlank="1">
        <m/>
        <s v="X"/>
      </sharedItems>
    </cacheField>
    <cacheField name="Lun 04" numFmtId="0">
      <sharedItems containsBlank="1">
        <m/>
        <s v="X"/>
      </sharedItems>
    </cacheField>
    <cacheField name="Mar 05" numFmtId="0">
      <sharedItems containsBlank="1">
        <s v="X"/>
        <m/>
      </sharedItems>
    </cacheField>
    <cacheField name="Mié 06" numFmtId="0">
      <sharedItems containsBlank="1">
        <m/>
        <s v="X"/>
      </sharedItems>
    </cacheField>
    <cacheField name="Jue 07" numFmtId="0">
      <sharedItems containsBlank="1">
        <s v="X"/>
        <m/>
      </sharedItems>
    </cacheField>
    <cacheField name="Vie 08" numFmtId="0">
      <sharedItems containsBlank="1">
        <s v="X"/>
        <m/>
      </sharedItems>
    </cacheField>
    <cacheField name="Sáb 09" numFmtId="0">
      <sharedItems containsBlank="1">
        <m/>
        <s v="X"/>
      </sharedItems>
    </cacheField>
    <cacheField name="Dom 10" numFmtId="0">
      <sharedItems containsBlank="1">
        <m/>
        <s v="X"/>
      </sharedItems>
    </cacheField>
    <cacheField name="Lun 11" numFmtId="0">
      <sharedItems containsBlank="1">
        <s v="X"/>
        <m/>
      </sharedItems>
    </cacheField>
    <cacheField name="Mar 12" numFmtId="0">
      <sharedItems containsBlank="1">
        <m/>
        <s v="X"/>
      </sharedItems>
    </cacheField>
    <cacheField name="Mié 13" numFmtId="0">
      <sharedItems containsBlank="1">
        <s v="X"/>
        <m/>
      </sharedItems>
    </cacheField>
    <cacheField name="Jue 14" numFmtId="0">
      <sharedItems containsBlank="1">
        <s v="X"/>
        <m/>
      </sharedItems>
    </cacheField>
    <cacheField name="Vie 15" numFmtId="0">
      <sharedItems containsBlank="1">
        <m/>
        <s v="X"/>
      </sharedItems>
    </cacheField>
    <cacheField name="Sáb 16" numFmtId="0">
      <sharedItems containsBlank="1">
        <s v="X"/>
        <m/>
      </sharedItems>
    </cacheField>
    <cacheField name="Dom 17" numFmtId="0">
      <sharedItems containsBlank="1">
        <s v="X"/>
        <m/>
      </sharedItems>
    </cacheField>
    <cacheField name="Lun 18" numFmtId="0">
      <sharedItems containsBlank="1">
        <s v="X"/>
        <m/>
      </sharedItems>
    </cacheField>
    <cacheField name="Mar 19" numFmtId="0">
      <sharedItems containsBlank="1">
        <m/>
        <s v="X"/>
      </sharedItems>
    </cacheField>
    <cacheField name="Mié 20" numFmtId="0">
      <sharedItems containsBlank="1">
        <s v="X"/>
        <m/>
      </sharedItems>
    </cacheField>
    <cacheField name="Jue 21" numFmtId="0">
      <sharedItems containsBlank="1">
        <s v="X"/>
        <m/>
      </sharedItems>
    </cacheField>
    <cacheField name="Vie 22" numFmtId="0">
      <sharedItems containsBlank="1">
        <m/>
        <s v="X"/>
      </sharedItems>
    </cacheField>
    <cacheField name="Sáb 23" numFmtId="0">
      <sharedItems containsBlank="1">
        <m/>
        <s v="X"/>
      </sharedItems>
    </cacheField>
    <cacheField name="Dom 24" numFmtId="0">
      <sharedItems containsBlank="1">
        <m/>
        <s v="X"/>
      </sharedItems>
    </cacheField>
    <cacheField name="Lun 25" numFmtId="0">
      <sharedItems containsBlank="1">
        <s v="X"/>
        <m/>
      </sharedItems>
    </cacheField>
    <cacheField name="Mar 26" numFmtId="0">
      <sharedItems containsBlank="1">
        <s v="X"/>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Itaciones FH" cacheId="0" dataCaption="" compact="0" compactData="0">
  <location ref="C77:D88" firstHeaderRow="0" firstDataRow="1" firstDataCol="0"/>
  <pivotFields>
    <pivotField name="Local" axis="axisRow" compact="0" outline="0" multipleItemSelectionAllowed="1" showAll="0" sortType="ascending">
      <items>
        <item x="5"/>
        <item x="6"/>
        <item x="0"/>
        <item x="1"/>
        <item x="7"/>
        <item x="8"/>
        <item x="9"/>
        <item x="2"/>
        <item x="3"/>
        <item x="4"/>
        <item t="default"/>
      </items>
    </pivotField>
    <pivotField name="Paten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Total días activos" compact="0" outline="0" multipleItemSelectionAllowed="1" showAll="0">
      <items>
        <item x="0"/>
        <item x="1"/>
        <item x="2"/>
        <item x="3"/>
        <item x="4"/>
        <item x="5"/>
        <item x="6"/>
        <item x="7"/>
        <item x="8"/>
        <item x="9"/>
        <item x="10"/>
        <item x="11"/>
        <item x="12"/>
        <item x="13"/>
        <item x="14"/>
        <item x="15"/>
        <item x="16"/>
        <item x="17"/>
        <item x="18"/>
        <item t="default"/>
      </items>
    </pivotField>
    <pivotField name="Vie 01" compact="0" outline="0" multipleItemSelectionAllowed="1" showAll="0">
      <items>
        <item x="0"/>
        <item t="default"/>
      </items>
    </pivotField>
    <pivotField name="Sáb 02" compact="0" outline="0" multipleItemSelectionAllowed="1" showAll="0">
      <items>
        <item x="0"/>
        <item x="1"/>
        <item t="default"/>
      </items>
    </pivotField>
    <pivotField name="Dom 03" compact="0" outline="0" multipleItemSelectionAllowed="1" showAll="0">
      <items>
        <item x="0"/>
        <item x="1"/>
        <item t="default"/>
      </items>
    </pivotField>
    <pivotField name="Lun 04" compact="0" outline="0" multipleItemSelectionAllowed="1" showAll="0">
      <items>
        <item x="0"/>
        <item x="1"/>
        <item t="default"/>
      </items>
    </pivotField>
    <pivotField name="Mar 05" compact="0" outline="0" multipleItemSelectionAllowed="1" showAll="0">
      <items>
        <item x="0"/>
        <item x="1"/>
        <item t="default"/>
      </items>
    </pivotField>
    <pivotField name="Mié 06" compact="0" outline="0" multipleItemSelectionAllowed="1" showAll="0">
      <items>
        <item x="0"/>
        <item x="1"/>
        <item t="default"/>
      </items>
    </pivotField>
    <pivotField name="Jue 07" compact="0" outline="0" multipleItemSelectionAllowed="1" showAll="0">
      <items>
        <item x="0"/>
        <item x="1"/>
        <item t="default"/>
      </items>
    </pivotField>
    <pivotField name="Vie 08" compact="0" outline="0" multipleItemSelectionAllowed="1" showAll="0">
      <items>
        <item x="0"/>
        <item x="1"/>
        <item t="default"/>
      </items>
    </pivotField>
    <pivotField name="Sáb 09" compact="0" outline="0" multipleItemSelectionAllowed="1" showAll="0">
      <items>
        <item x="0"/>
        <item x="1"/>
        <item t="default"/>
      </items>
    </pivotField>
    <pivotField name="Dom 10" compact="0" outline="0" multipleItemSelectionAllowed="1" showAll="0">
      <items>
        <item x="0"/>
        <item x="1"/>
        <item t="default"/>
      </items>
    </pivotField>
    <pivotField name="Lun 11" compact="0" outline="0" multipleItemSelectionAllowed="1" showAll="0">
      <items>
        <item x="0"/>
        <item x="1"/>
        <item t="default"/>
      </items>
    </pivotField>
    <pivotField name="Mar 12" compact="0" outline="0" multipleItemSelectionAllowed="1" showAll="0">
      <items>
        <item x="0"/>
        <item x="1"/>
        <item t="default"/>
      </items>
    </pivotField>
    <pivotField name="Mié 13" compact="0" outline="0" multipleItemSelectionAllowed="1" showAll="0">
      <items>
        <item x="0"/>
        <item x="1"/>
        <item t="default"/>
      </items>
    </pivotField>
    <pivotField name="Jue 14" compact="0" outline="0" multipleItemSelectionAllowed="1" showAll="0">
      <items>
        <item x="0"/>
        <item x="1"/>
        <item t="default"/>
      </items>
    </pivotField>
    <pivotField name="Vie 15" compact="0" outline="0" multipleItemSelectionAllowed="1" showAll="0">
      <items>
        <item x="0"/>
        <item x="1"/>
        <item t="default"/>
      </items>
    </pivotField>
    <pivotField name="Sáb 16" compact="0" outline="0" multipleItemSelectionAllowed="1" showAll="0">
      <items>
        <item x="0"/>
        <item x="1"/>
        <item t="default"/>
      </items>
    </pivotField>
    <pivotField name="Dom 17" compact="0" outline="0" multipleItemSelectionAllowed="1" showAll="0">
      <items>
        <item x="0"/>
        <item x="1"/>
        <item t="default"/>
      </items>
    </pivotField>
    <pivotField name="Lun 18" compact="0" outline="0" multipleItemSelectionAllowed="1" showAll="0">
      <items>
        <item x="0"/>
        <item x="1"/>
        <item t="default"/>
      </items>
    </pivotField>
    <pivotField name="Mar 19" compact="0" outline="0" multipleItemSelectionAllowed="1" showAll="0">
      <items>
        <item x="0"/>
        <item x="1"/>
        <item t="default"/>
      </items>
    </pivotField>
    <pivotField name="Mié 20" compact="0" outline="0" multipleItemSelectionAllowed="1" showAll="0">
      <items>
        <item x="0"/>
        <item x="1"/>
        <item t="default"/>
      </items>
    </pivotField>
    <pivotField name="Jue 21" compact="0" outline="0" multipleItemSelectionAllowed="1" showAll="0">
      <items>
        <item x="0"/>
        <item x="1"/>
        <item t="default"/>
      </items>
    </pivotField>
    <pivotField name="Vie 22" compact="0" outline="0" multipleItemSelectionAllowed="1" showAll="0">
      <items>
        <item x="0"/>
        <item x="1"/>
        <item t="default"/>
      </items>
    </pivotField>
    <pivotField name="Sáb 23" compact="0" outline="0" multipleItemSelectionAllowed="1" showAll="0">
      <items>
        <item x="0"/>
        <item x="1"/>
        <item t="default"/>
      </items>
    </pivotField>
    <pivotField name="Dom 24" compact="0" outline="0" multipleItemSelectionAllowed="1" showAll="0">
      <items>
        <item x="0"/>
        <item x="1"/>
        <item t="default"/>
      </items>
    </pivotField>
    <pivotField name="Lun 25" compact="0" outline="0" multipleItemSelectionAllowed="1" showAll="0">
      <items>
        <item x="0"/>
        <item x="1"/>
        <item t="default"/>
      </items>
    </pivotField>
    <pivotField name="Mar 26" compact="0" outline="0" multipleItemSelectionAllowed="1" showAll="0">
      <items>
        <item x="0"/>
        <item x="1"/>
        <item t="default"/>
      </items>
    </pivotField>
  </pivotFields>
  <rowFields>
    <field x="0"/>
  </rowFields>
  <dataFields>
    <dataField name="COUNTA of Patente"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5T20:18:21.00" personId="{ca63a37f-eb5a-42b5-bbc9-b1a6794a00b8}" id="{bb8bc534-93b6-47d4-a3de-8e3317c2a9fd}" done="0">
    <x18tc:text xml:space="preserve">Por confirmar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3" max="3" width="15.25"/>
    <col customWidth="1" min="4" max="4" width="10.0"/>
    <col customWidth="1" min="5" max="5" width="22.5"/>
    <col customWidth="1" min="6" max="6" width="25.25"/>
  </cols>
  <sheetData>
    <row r="1">
      <c r="A1" s="1" t="s">
        <v>0</v>
      </c>
      <c r="B1" s="1" t="s">
        <v>1</v>
      </c>
      <c r="C1" s="1" t="s">
        <v>2</v>
      </c>
      <c r="D1" s="1" t="s">
        <v>3</v>
      </c>
      <c r="E1" s="1" t="s">
        <v>4</v>
      </c>
      <c r="F1" s="1" t="s">
        <v>5</v>
      </c>
    </row>
    <row r="2">
      <c r="A2" s="2">
        <v>120.0</v>
      </c>
      <c r="B2" s="3" t="s">
        <v>6</v>
      </c>
      <c r="C2" s="4" t="str">
        <f t="shared" ref="C2:C46" si="1">RIGHT(B2,6)</f>
        <v>HKSV64</v>
      </c>
      <c r="D2" s="1" t="s">
        <v>7</v>
      </c>
      <c r="E2" s="4"/>
      <c r="F2" s="4" t="str">
        <f>VLOOKUP(B2,Telemetria!B$2:E$98,3,0)</f>
        <v>Instalacion Lista </v>
      </c>
    </row>
    <row r="3">
      <c r="A3" s="2">
        <v>120.0</v>
      </c>
      <c r="B3" s="3" t="s">
        <v>8</v>
      </c>
      <c r="C3" s="4" t="str">
        <f t="shared" si="1"/>
        <v>HZRX80</v>
      </c>
      <c r="D3" s="1" t="s">
        <v>9</v>
      </c>
      <c r="E3" s="4"/>
      <c r="F3" s="4" t="str">
        <f>VLOOKUP(B3,Telemetria!B$2:E$98,3,0)</f>
        <v>Instalacion Lista </v>
      </c>
    </row>
    <row r="4">
      <c r="A4" s="2">
        <v>120.0</v>
      </c>
      <c r="B4" s="3" t="s">
        <v>10</v>
      </c>
      <c r="C4" s="4" t="str">
        <f t="shared" si="1"/>
        <v>KCHJ51</v>
      </c>
      <c r="D4" s="1" t="s">
        <v>9</v>
      </c>
      <c r="E4" s="4"/>
      <c r="F4" s="4" t="str">
        <f>VLOOKUP(B4,Telemetria!B$2:E$98,3,0)</f>
        <v>Instalacion Lista </v>
      </c>
    </row>
    <row r="5">
      <c r="A5" s="2">
        <v>120.0</v>
      </c>
      <c r="B5" s="3" t="s">
        <v>11</v>
      </c>
      <c r="C5" s="4" t="str">
        <f t="shared" si="1"/>
        <v>KJJX80</v>
      </c>
      <c r="D5" s="1" t="s">
        <v>9</v>
      </c>
      <c r="E5" s="1" t="s">
        <v>12</v>
      </c>
      <c r="F5" s="4" t="str">
        <f>VLOOKUP(B5,Telemetria!B$2:E$98,3,0)</f>
        <v>Instalacion Lista </v>
      </c>
    </row>
    <row r="6">
      <c r="A6" s="2">
        <v>120.0</v>
      </c>
      <c r="B6" s="3" t="s">
        <v>13</v>
      </c>
      <c r="C6" s="4" t="str">
        <f t="shared" si="1"/>
        <v>KKJZ64</v>
      </c>
      <c r="D6" s="1" t="s">
        <v>9</v>
      </c>
      <c r="E6" s="4"/>
      <c r="F6" s="4" t="str">
        <f>VLOOKUP(B6,Telemetria!B$2:E$98,3,0)</f>
        <v>Instalacion Lista </v>
      </c>
    </row>
    <row r="7">
      <c r="A7" s="2">
        <v>120.0</v>
      </c>
      <c r="B7" s="3" t="s">
        <v>14</v>
      </c>
      <c r="C7" s="4" t="str">
        <f t="shared" si="1"/>
        <v>KTZY10</v>
      </c>
      <c r="D7" s="1" t="s">
        <v>15</v>
      </c>
      <c r="E7" s="4"/>
      <c r="F7" s="4" t="str">
        <f>VLOOKUP(B7,Telemetria!B$2:E$98,3,0)</f>
        <v>Instalacion Lista </v>
      </c>
    </row>
    <row r="8">
      <c r="A8" s="2">
        <v>120.0</v>
      </c>
      <c r="B8" s="3" t="s">
        <v>16</v>
      </c>
      <c r="C8" s="4" t="str">
        <f t="shared" si="1"/>
        <v>KTZY11</v>
      </c>
      <c r="D8" s="1" t="s">
        <v>9</v>
      </c>
      <c r="E8" s="4"/>
      <c r="F8" s="4" t="str">
        <f>VLOOKUP(B8,Telemetria!B$2:E$98,3,0)</f>
        <v>Pendiente Instalacion</v>
      </c>
    </row>
    <row r="9">
      <c r="A9" s="2">
        <v>120.0</v>
      </c>
      <c r="B9" s="3" t="s">
        <v>17</v>
      </c>
      <c r="C9" s="4" t="str">
        <f t="shared" si="1"/>
        <v>KYSJ80</v>
      </c>
      <c r="D9" s="1" t="s">
        <v>9</v>
      </c>
      <c r="E9" s="1"/>
      <c r="F9" s="4" t="str">
        <f>VLOOKUP(B9,Telemetria!B$2:E$98,3,0)</f>
        <v>Instalacion Lista </v>
      </c>
    </row>
    <row r="10">
      <c r="A10" s="2">
        <v>120.0</v>
      </c>
      <c r="B10" s="3" t="s">
        <v>18</v>
      </c>
      <c r="C10" s="4" t="str">
        <f t="shared" si="1"/>
        <v>KZZY17</v>
      </c>
      <c r="D10" s="1" t="s">
        <v>9</v>
      </c>
      <c r="E10" s="4"/>
      <c r="F10" s="4" t="str">
        <f>VLOOKUP(B10,Telemetria!B$2:E$98,3,0)</f>
        <v>Instalacion Lista </v>
      </c>
    </row>
    <row r="11">
      <c r="A11" s="2">
        <v>120.0</v>
      </c>
      <c r="B11" s="1" t="s">
        <v>19</v>
      </c>
      <c r="C11" s="4" t="str">
        <f t="shared" si="1"/>
        <v>PGJL89</v>
      </c>
      <c r="D11" s="1" t="s">
        <v>9</v>
      </c>
      <c r="E11" s="4"/>
      <c r="F11" s="4" t="str">
        <f>VLOOKUP(B11,Telemetria!B$2:E$98,3,0)</f>
        <v>Instalacion Lista </v>
      </c>
    </row>
    <row r="12">
      <c r="A12" s="2">
        <v>120.0</v>
      </c>
      <c r="B12" s="3" t="s">
        <v>20</v>
      </c>
      <c r="C12" s="4" t="str">
        <f t="shared" si="1"/>
        <v>LFZC21</v>
      </c>
      <c r="D12" s="1" t="s">
        <v>15</v>
      </c>
      <c r="E12" s="4"/>
      <c r="F12" s="4" t="str">
        <f>VLOOKUP(B12,Telemetria!B$2:E$98,3,0)</f>
        <v>Instalacion Lista </v>
      </c>
    </row>
    <row r="13">
      <c r="A13" s="2">
        <v>120.0</v>
      </c>
      <c r="B13" s="3" t="s">
        <v>21</v>
      </c>
      <c r="C13" s="4" t="str">
        <f t="shared" si="1"/>
        <v>LHVR22</v>
      </c>
      <c r="D13" s="1" t="s">
        <v>9</v>
      </c>
      <c r="E13" s="4"/>
      <c r="F13" s="4" t="str">
        <f>VLOOKUP(B13,Telemetria!B$2:E$98,3,0)</f>
        <v>Instalacion Lista </v>
      </c>
    </row>
    <row r="14">
      <c r="A14" s="2">
        <v>120.0</v>
      </c>
      <c r="B14" s="3" t="s">
        <v>22</v>
      </c>
      <c r="C14" s="4" t="str">
        <f t="shared" si="1"/>
        <v>RGVV55</v>
      </c>
      <c r="D14" s="1" t="s">
        <v>7</v>
      </c>
      <c r="E14" s="4"/>
      <c r="F14" s="4" t="str">
        <f>VLOOKUP(B14,Telemetria!B$2:E$98,3,0)</f>
        <v>Instalacion Lista </v>
      </c>
    </row>
    <row r="15">
      <c r="A15" s="2">
        <v>120.0</v>
      </c>
      <c r="B15" s="3" t="s">
        <v>23</v>
      </c>
      <c r="C15" s="4" t="str">
        <f t="shared" si="1"/>
        <v>RXTL44</v>
      </c>
      <c r="D15" s="1" t="s">
        <v>7</v>
      </c>
      <c r="E15" s="4"/>
      <c r="F15" s="4" t="str">
        <f>VLOOKUP(B15,Telemetria!B$2:E$98,3,0)</f>
        <v>Instalacion Lista </v>
      </c>
    </row>
    <row r="16">
      <c r="A16" s="2">
        <v>120.0</v>
      </c>
      <c r="B16" s="3" t="s">
        <v>24</v>
      </c>
      <c r="C16" s="4" t="str">
        <f t="shared" si="1"/>
        <v>RYJR47</v>
      </c>
      <c r="D16" s="1" t="s">
        <v>9</v>
      </c>
      <c r="E16" s="4"/>
      <c r="F16" s="4" t="str">
        <f>VLOOKUP(B16,Telemetria!B$2:E$98,3,0)</f>
        <v>Instalacion Lista </v>
      </c>
    </row>
    <row r="17">
      <c r="A17" s="2">
        <v>120.0</v>
      </c>
      <c r="B17" s="3" t="s">
        <v>25</v>
      </c>
      <c r="C17" s="4" t="str">
        <f t="shared" si="1"/>
        <v>TKWX57</v>
      </c>
      <c r="D17" s="1" t="s">
        <v>7</v>
      </c>
      <c r="E17" s="4"/>
      <c r="F17" s="4" t="str">
        <f>VLOOKUP(B17,Telemetria!B$2:E$98,3,0)</f>
        <v>Instalacion Lista </v>
      </c>
    </row>
    <row r="18">
      <c r="A18" s="2">
        <v>120.0</v>
      </c>
      <c r="B18" s="3" t="s">
        <v>26</v>
      </c>
      <c r="C18" s="4" t="str">
        <f t="shared" si="1"/>
        <v>TRYL82</v>
      </c>
      <c r="D18" s="1" t="s">
        <v>15</v>
      </c>
      <c r="E18" s="1" t="s">
        <v>27</v>
      </c>
      <c r="F18" s="4" t="str">
        <f>VLOOKUP(B18,Telemetria!B$2:E$98,3,0)</f>
        <v>Instalacion Lista </v>
      </c>
    </row>
    <row r="19">
      <c r="A19" s="2">
        <v>120.0</v>
      </c>
      <c r="B19" s="3" t="s">
        <v>28</v>
      </c>
      <c r="C19" s="4" t="str">
        <f t="shared" si="1"/>
        <v>TSCT51</v>
      </c>
      <c r="D19" s="1" t="s">
        <v>7</v>
      </c>
      <c r="E19" s="1" t="s">
        <v>29</v>
      </c>
      <c r="F19" s="4" t="str">
        <f>VLOOKUP(B19,Telemetria!B$2:E$98,3,0)</f>
        <v>Instalacion Lista </v>
      </c>
    </row>
    <row r="20">
      <c r="A20" s="2">
        <v>120.0</v>
      </c>
      <c r="B20" s="3" t="s">
        <v>30</v>
      </c>
      <c r="C20" s="4" t="str">
        <f t="shared" si="1"/>
        <v>TZCH26</v>
      </c>
      <c r="D20" s="1" t="s">
        <v>9</v>
      </c>
      <c r="E20" s="4"/>
      <c r="F20" s="4" t="str">
        <f>VLOOKUP(B20,Telemetria!B$2:E$98,3,0)</f>
        <v>Instalacion Lista </v>
      </c>
    </row>
    <row r="21">
      <c r="A21" s="2">
        <v>121.0</v>
      </c>
      <c r="B21" s="3" t="s">
        <v>31</v>
      </c>
      <c r="C21" s="4" t="str">
        <f t="shared" si="1"/>
        <v>CJJY36</v>
      </c>
      <c r="D21" s="1" t="s">
        <v>9</v>
      </c>
      <c r="E21" s="1" t="s">
        <v>32</v>
      </c>
      <c r="F21" s="4" t="str">
        <f>VLOOKUP(B21,Telemetria!B$2:E$98,3,0)</f>
        <v>Instalacion Lista </v>
      </c>
    </row>
    <row r="22">
      <c r="A22" s="2">
        <v>121.0</v>
      </c>
      <c r="B22" s="3" t="s">
        <v>33</v>
      </c>
      <c r="C22" s="4" t="str">
        <f t="shared" si="1"/>
        <v>RHXG50</v>
      </c>
      <c r="D22" s="1" t="s">
        <v>9</v>
      </c>
      <c r="E22" s="1" t="s">
        <v>32</v>
      </c>
      <c r="F22" s="4" t="str">
        <f>VLOOKUP(B22,Telemetria!B$2:E$98,3,0)</f>
        <v>Instalacion Lista </v>
      </c>
      <c r="G22" s="5" t="s">
        <v>34</v>
      </c>
    </row>
    <row r="23">
      <c r="A23" s="2">
        <v>121.0</v>
      </c>
      <c r="B23" s="3" t="s">
        <v>35</v>
      </c>
      <c r="C23" s="4" t="str">
        <f t="shared" si="1"/>
        <v>VLHB59</v>
      </c>
      <c r="D23" s="1" t="s">
        <v>9</v>
      </c>
      <c r="E23" s="1" t="s">
        <v>32</v>
      </c>
      <c r="F23" s="4" t="str">
        <f>VLOOKUP(B23,Telemetria!B$2:E$98,3,0)</f>
        <v>Instalacion Lista </v>
      </c>
    </row>
    <row r="24">
      <c r="A24" s="2">
        <v>121.0</v>
      </c>
      <c r="B24" s="3" t="s">
        <v>36</v>
      </c>
      <c r="C24" s="4" t="str">
        <f t="shared" si="1"/>
        <v>RHWY99</v>
      </c>
      <c r="D24" s="1" t="s">
        <v>9</v>
      </c>
      <c r="E24" s="1" t="s">
        <v>32</v>
      </c>
      <c r="F24" s="4" t="str">
        <f>VLOOKUP(B24,Telemetria!B$2:E$98,3,0)</f>
        <v>Instalacion Lista </v>
      </c>
    </row>
    <row r="25">
      <c r="A25" s="2">
        <v>121.0</v>
      </c>
      <c r="B25" s="3" t="s">
        <v>37</v>
      </c>
      <c r="C25" s="4" t="str">
        <f t="shared" si="1"/>
        <v>PTGD93</v>
      </c>
      <c r="D25" s="1" t="s">
        <v>9</v>
      </c>
      <c r="E25" s="1" t="s">
        <v>32</v>
      </c>
      <c r="F25" s="4" t="str">
        <f>VLOOKUP(B25,Telemetria!B$2:E$98,3,0)</f>
        <v>Instalacion Lista </v>
      </c>
    </row>
    <row r="26">
      <c r="A26" s="2">
        <v>121.0</v>
      </c>
      <c r="B26" s="3" t="s">
        <v>38</v>
      </c>
      <c r="C26" s="4" t="str">
        <f t="shared" si="1"/>
        <v>RPGK29</v>
      </c>
      <c r="D26" s="1" t="s">
        <v>9</v>
      </c>
      <c r="E26" s="1" t="s">
        <v>32</v>
      </c>
      <c r="F26" s="4" t="str">
        <f>VLOOKUP(B26,Telemetria!B$2:E$98,3,0)</f>
        <v>Instalacion Lista </v>
      </c>
      <c r="G26" s="5" t="s">
        <v>34</v>
      </c>
    </row>
    <row r="27">
      <c r="A27" s="2">
        <v>121.0</v>
      </c>
      <c r="B27" s="3" t="s">
        <v>39</v>
      </c>
      <c r="C27" s="4" t="str">
        <f t="shared" si="1"/>
        <v>SBTV68</v>
      </c>
      <c r="D27" s="1" t="s">
        <v>9</v>
      </c>
      <c r="E27" s="1" t="s">
        <v>32</v>
      </c>
      <c r="F27" s="4" t="str">
        <f>VLOOKUP(B27,Telemetria!B$2:E$98,3,0)</f>
        <v>Instalacion Lista </v>
      </c>
    </row>
    <row r="28">
      <c r="A28" s="2">
        <v>121.0</v>
      </c>
      <c r="B28" s="6" t="s">
        <v>40</v>
      </c>
      <c r="C28" s="4" t="str">
        <f t="shared" si="1"/>
        <v>SLP82 </v>
      </c>
      <c r="D28" s="1" t="s">
        <v>9</v>
      </c>
      <c r="E28" s="1" t="s">
        <v>32</v>
      </c>
      <c r="F28" s="4" t="str">
        <f>VLOOKUP(B28,Telemetria!B$2:E$98,3,0)</f>
        <v>#N/A</v>
      </c>
    </row>
    <row r="29">
      <c r="A29" s="2">
        <v>121.0</v>
      </c>
      <c r="B29" s="3" t="s">
        <v>41</v>
      </c>
      <c r="C29" s="4" t="str">
        <f t="shared" si="1"/>
        <v>VDZC94</v>
      </c>
      <c r="D29" s="1" t="s">
        <v>9</v>
      </c>
      <c r="E29" s="1" t="s">
        <v>32</v>
      </c>
      <c r="F29" s="4" t="str">
        <f>VLOOKUP(B29,Telemetria!B$2:E$98,3,0)</f>
        <v>Instalacion Lista </v>
      </c>
    </row>
    <row r="30">
      <c r="A30" s="2">
        <v>121.0</v>
      </c>
      <c r="B30" s="3" t="s">
        <v>42</v>
      </c>
      <c r="C30" s="4" t="str">
        <f t="shared" si="1"/>
        <v>TYWH80</v>
      </c>
      <c r="D30" s="1" t="s">
        <v>9</v>
      </c>
      <c r="E30" s="1" t="s">
        <v>32</v>
      </c>
      <c r="F30" s="4" t="str">
        <f>VLOOKUP(B30,Telemetria!B$2:E$98,3,0)</f>
        <v>Instalacion Lista </v>
      </c>
    </row>
    <row r="31">
      <c r="A31" s="2">
        <v>121.0</v>
      </c>
      <c r="B31" s="3" t="s">
        <v>43</v>
      </c>
      <c r="C31" s="4" t="str">
        <f t="shared" si="1"/>
        <v>RVPT55</v>
      </c>
      <c r="D31" s="1" t="s">
        <v>9</v>
      </c>
      <c r="E31" s="1" t="s">
        <v>32</v>
      </c>
      <c r="F31" s="4" t="str">
        <f>VLOOKUP(B31,Telemetria!B$2:E$98,3,0)</f>
        <v>Pendiente Instalacion</v>
      </c>
      <c r="G31" s="5" t="s">
        <v>34</v>
      </c>
    </row>
    <row r="32">
      <c r="A32" s="2">
        <v>58.0</v>
      </c>
      <c r="B32" s="3" t="s">
        <v>44</v>
      </c>
      <c r="C32" s="7" t="str">
        <f t="shared" si="1"/>
        <v>CJYL78</v>
      </c>
      <c r="D32" s="1" t="s">
        <v>15</v>
      </c>
      <c r="E32" s="1" t="s">
        <v>45</v>
      </c>
      <c r="F32" s="4" t="str">
        <f>VLOOKUP(B32,Telemetria!B$2:E$98,3,0)</f>
        <v>Pendiente Instalacion</v>
      </c>
    </row>
    <row r="33">
      <c r="A33" s="2">
        <v>58.0</v>
      </c>
      <c r="B33" s="3" t="s">
        <v>46</v>
      </c>
      <c r="C33" s="4" t="str">
        <f t="shared" si="1"/>
        <v>DLCB16</v>
      </c>
      <c r="D33" s="1" t="s">
        <v>9</v>
      </c>
      <c r="E33" s="4"/>
      <c r="F33" s="4" t="str">
        <f>VLOOKUP(B33,Telemetria!B$2:E$98,3,0)</f>
        <v>Instalacion Lista </v>
      </c>
    </row>
    <row r="34">
      <c r="A34" s="2">
        <v>58.0</v>
      </c>
      <c r="B34" s="3" t="s">
        <v>47</v>
      </c>
      <c r="C34" s="7" t="str">
        <f t="shared" si="1"/>
        <v>JPVT35</v>
      </c>
      <c r="D34" s="1" t="s">
        <v>15</v>
      </c>
      <c r="E34" s="1" t="s">
        <v>48</v>
      </c>
      <c r="F34" s="4" t="str">
        <f>VLOOKUP(B34,Telemetria!B$2:E$98,3,0)</f>
        <v>Instalacion Lista </v>
      </c>
    </row>
    <row r="35">
      <c r="A35" s="2">
        <v>58.0</v>
      </c>
      <c r="B35" s="3" t="s">
        <v>49</v>
      </c>
      <c r="C35" s="4" t="str">
        <f t="shared" si="1"/>
        <v>LFTL60</v>
      </c>
      <c r="D35" s="1" t="s">
        <v>7</v>
      </c>
      <c r="E35" s="1" t="s">
        <v>50</v>
      </c>
      <c r="F35" s="4" t="str">
        <f>VLOOKUP(B35,Telemetria!B$2:E$98,3,0)</f>
        <v>Instalacion Lista </v>
      </c>
    </row>
    <row r="36">
      <c r="A36" s="2">
        <v>58.0</v>
      </c>
      <c r="B36" s="3" t="s">
        <v>51</v>
      </c>
      <c r="C36" s="4" t="str">
        <f t="shared" si="1"/>
        <v>PKPT90</v>
      </c>
      <c r="D36" s="1" t="s">
        <v>7</v>
      </c>
      <c r="E36" s="1" t="s">
        <v>52</v>
      </c>
      <c r="F36" s="4" t="str">
        <f>VLOOKUP(B36,Telemetria!B$2:E$98,3,0)</f>
        <v>Instalacion Lista </v>
      </c>
    </row>
    <row r="37">
      <c r="A37" s="2">
        <v>58.0</v>
      </c>
      <c r="B37" s="3" t="s">
        <v>53</v>
      </c>
      <c r="C37" s="4" t="str">
        <f t="shared" si="1"/>
        <v>PPWY63</v>
      </c>
      <c r="D37" s="1" t="s">
        <v>9</v>
      </c>
      <c r="E37" s="1"/>
      <c r="F37" s="4" t="str">
        <f>VLOOKUP(B37,Telemetria!B$2:E$98,3,0)</f>
        <v>Instalacion Lista </v>
      </c>
    </row>
    <row r="38">
      <c r="A38" s="2">
        <v>58.0</v>
      </c>
      <c r="B38" s="3" t="s">
        <v>54</v>
      </c>
      <c r="C38" s="4" t="str">
        <f t="shared" si="1"/>
        <v>PSCW71</v>
      </c>
      <c r="D38" s="1" t="s">
        <v>7</v>
      </c>
      <c r="E38" s="1" t="s">
        <v>55</v>
      </c>
      <c r="F38" s="4" t="str">
        <f>VLOOKUP(B38,Telemetria!B$2:E$98,3,0)</f>
        <v>Instalacion Lista </v>
      </c>
    </row>
    <row r="39">
      <c r="A39" s="2">
        <v>58.0</v>
      </c>
      <c r="B39" s="3" t="s">
        <v>56</v>
      </c>
      <c r="C39" s="7" t="str">
        <f t="shared" si="1"/>
        <v>RDPF14</v>
      </c>
      <c r="D39" s="1" t="s">
        <v>15</v>
      </c>
      <c r="E39" s="1" t="s">
        <v>45</v>
      </c>
      <c r="F39" s="4" t="str">
        <f>VLOOKUP(B39,Telemetria!B$2:E$98,3,0)</f>
        <v>Pendiente Instalacion</v>
      </c>
    </row>
    <row r="40">
      <c r="A40" s="2">
        <v>58.0</v>
      </c>
      <c r="B40" s="3" t="s">
        <v>57</v>
      </c>
      <c r="C40" s="4" t="str">
        <f t="shared" si="1"/>
        <v>SFJT82</v>
      </c>
      <c r="D40" s="1" t="s">
        <v>7</v>
      </c>
      <c r="E40" s="1" t="s">
        <v>48</v>
      </c>
      <c r="F40" s="4" t="str">
        <f>VLOOKUP(B40,Telemetria!B$2:E$98,3,0)</f>
        <v>Instalacion Lista </v>
      </c>
    </row>
    <row r="41">
      <c r="A41" s="2">
        <v>58.0</v>
      </c>
      <c r="B41" s="3" t="s">
        <v>58</v>
      </c>
      <c r="C41" s="4" t="str">
        <f t="shared" si="1"/>
        <v>SRYH57</v>
      </c>
      <c r="D41" s="1" t="s">
        <v>9</v>
      </c>
      <c r="E41" s="4"/>
      <c r="F41" s="4" t="str">
        <f>VLOOKUP(B41,Telemetria!B$2:E$98,3,0)</f>
        <v>Instalacion Lista </v>
      </c>
    </row>
    <row r="42">
      <c r="A42" s="2">
        <v>58.0</v>
      </c>
      <c r="B42" s="3" t="s">
        <v>59</v>
      </c>
      <c r="C42" s="4" t="str">
        <f t="shared" si="1"/>
        <v>STWR86</v>
      </c>
      <c r="D42" s="1" t="s">
        <v>9</v>
      </c>
      <c r="E42" s="1" t="s">
        <v>60</v>
      </c>
      <c r="F42" s="4" t="str">
        <f>VLOOKUP(B42,Telemetria!B$2:E$98,3,0)</f>
        <v>Pendiente Instalacion</v>
      </c>
    </row>
    <row r="43">
      <c r="A43" s="2">
        <v>58.0</v>
      </c>
      <c r="B43" s="3" t="s">
        <v>61</v>
      </c>
      <c r="C43" s="4" t="str">
        <f t="shared" si="1"/>
        <v>SVLY73</v>
      </c>
      <c r="D43" s="1" t="s">
        <v>9</v>
      </c>
      <c r="E43" s="4"/>
      <c r="F43" s="4" t="str">
        <f>VLOOKUP(B43,Telemetria!B$2:E$98,3,0)</f>
        <v>Instalacion Lista </v>
      </c>
    </row>
    <row r="44">
      <c r="A44" s="2">
        <v>58.0</v>
      </c>
      <c r="B44" s="3" t="s">
        <v>62</v>
      </c>
      <c r="C44" s="4" t="str">
        <f t="shared" si="1"/>
        <v>SYSS70</v>
      </c>
      <c r="D44" s="1" t="s">
        <v>9</v>
      </c>
      <c r="E44" s="1" t="s">
        <v>63</v>
      </c>
      <c r="F44" s="4" t="str">
        <f>VLOOKUP(B44,Telemetria!B$2:E$98,3,0)</f>
        <v>Instalacion Lista </v>
      </c>
    </row>
    <row r="45">
      <c r="A45" s="2">
        <v>58.0</v>
      </c>
      <c r="B45" s="3" t="s">
        <v>64</v>
      </c>
      <c r="C45" s="4" t="str">
        <f t="shared" si="1"/>
        <v>TVZC13</v>
      </c>
      <c r="D45" s="1" t="s">
        <v>9</v>
      </c>
      <c r="E45" s="4"/>
      <c r="F45" s="4" t="str">
        <f>VLOOKUP(B45,Telemetria!B$2:E$98,3,0)</f>
        <v>Instalacion Lista </v>
      </c>
    </row>
    <row r="46">
      <c r="A46" s="2">
        <v>58.0</v>
      </c>
      <c r="B46" s="3" t="s">
        <v>65</v>
      </c>
      <c r="C46" s="4" t="str">
        <f t="shared" si="1"/>
        <v>VHSW61</v>
      </c>
      <c r="D46" s="1" t="s">
        <v>9</v>
      </c>
      <c r="E46" s="4"/>
      <c r="F46" s="4" t="str">
        <f>VLOOKUP(B46,Telemetria!B$2:E$98,3,0)</f>
        <v>Instalacion Lista </v>
      </c>
    </row>
    <row r="47">
      <c r="A47" s="2">
        <v>58.0</v>
      </c>
      <c r="B47" s="3" t="s">
        <v>12</v>
      </c>
      <c r="C47" s="8" t="s">
        <v>66</v>
      </c>
      <c r="D47" s="1" t="s">
        <v>9</v>
      </c>
      <c r="E47" s="4"/>
      <c r="F47" s="4" t="str">
        <f>VLOOKUP(B47,Telemetria!B$2:E$98,3,0)</f>
        <v>#N/A</v>
      </c>
    </row>
    <row r="48">
      <c r="A48" s="2">
        <v>58.0</v>
      </c>
      <c r="B48" s="3" t="s">
        <v>67</v>
      </c>
      <c r="C48" s="4" t="str">
        <f t="shared" ref="C48:C87" si="2">RIGHT(B48,6)</f>
        <v>TSTP28</v>
      </c>
      <c r="D48" s="1" t="s">
        <v>9</v>
      </c>
      <c r="E48" s="4"/>
      <c r="F48" s="4" t="str">
        <f>VLOOKUP(B48,Telemetria!B$2:E$98,3,0)</f>
        <v>Instalacion Lista </v>
      </c>
    </row>
    <row r="49">
      <c r="A49" s="2">
        <v>608.0</v>
      </c>
      <c r="B49" s="3" t="s">
        <v>68</v>
      </c>
      <c r="C49" s="4" t="str">
        <f t="shared" si="2"/>
        <v>HZPB58</v>
      </c>
      <c r="D49" s="1" t="s">
        <v>9</v>
      </c>
      <c r="E49" s="4"/>
      <c r="F49" s="4" t="str">
        <f>VLOOKUP(B49,Telemetria!B$2:E$98,3,0)</f>
        <v>Instalacion Lista </v>
      </c>
    </row>
    <row r="50">
      <c r="A50" s="2">
        <v>608.0</v>
      </c>
      <c r="B50" s="3" t="s">
        <v>69</v>
      </c>
      <c r="C50" s="4" t="str">
        <f t="shared" si="2"/>
        <v>TFBY52</v>
      </c>
      <c r="D50" s="1" t="s">
        <v>9</v>
      </c>
      <c r="E50" s="4"/>
      <c r="F50" s="4" t="str">
        <f>VLOOKUP(B50,Telemetria!B$2:E$98,3,0)</f>
        <v>Pendiente Instalacion</v>
      </c>
    </row>
    <row r="51">
      <c r="A51" s="2">
        <v>618.0</v>
      </c>
      <c r="B51" s="3" t="s">
        <v>70</v>
      </c>
      <c r="C51" s="4" t="str">
        <f t="shared" si="2"/>
        <v>FZKB60</v>
      </c>
      <c r="D51" s="1" t="s">
        <v>9</v>
      </c>
      <c r="E51" s="4"/>
      <c r="F51" s="4" t="str">
        <f>VLOOKUP(B51,Telemetria!B$2:E$98,3,0)</f>
        <v>Instalacion Lista </v>
      </c>
    </row>
    <row r="52">
      <c r="A52" s="2">
        <v>618.0</v>
      </c>
      <c r="B52" s="3" t="s">
        <v>71</v>
      </c>
      <c r="C52" s="4" t="str">
        <f t="shared" si="2"/>
        <v>JSTD66</v>
      </c>
      <c r="D52" s="1" t="s">
        <v>9</v>
      </c>
      <c r="E52" s="9" t="s">
        <v>72</v>
      </c>
      <c r="F52" s="4" t="str">
        <f>VLOOKUP(B52,Telemetria!B$2:E$98,3,0)</f>
        <v>Pendiente Instalacion</v>
      </c>
    </row>
    <row r="53">
      <c r="A53" s="2">
        <v>618.0</v>
      </c>
      <c r="B53" s="3" t="s">
        <v>73</v>
      </c>
      <c r="C53" s="4" t="str">
        <f t="shared" si="2"/>
        <v>KXDX77</v>
      </c>
      <c r="D53" s="1" t="s">
        <v>9</v>
      </c>
      <c r="E53" s="4"/>
      <c r="F53" s="4" t="str">
        <f>VLOOKUP(B53,Telemetria!B$2:E$98,3,0)</f>
        <v>Instalacion Lista </v>
      </c>
    </row>
    <row r="54">
      <c r="A54" s="2">
        <v>618.0</v>
      </c>
      <c r="B54" s="3" t="s">
        <v>74</v>
      </c>
      <c r="C54" s="4" t="str">
        <f t="shared" si="2"/>
        <v>KZZY13</v>
      </c>
      <c r="D54" s="1" t="s">
        <v>7</v>
      </c>
      <c r="E54" s="4"/>
      <c r="F54" s="4" t="str">
        <f>VLOOKUP(B54,Telemetria!B$2:E$98,3,0)</f>
        <v>Pendiente Instalacion</v>
      </c>
    </row>
    <row r="55">
      <c r="A55" s="2">
        <v>618.0</v>
      </c>
      <c r="B55" s="3" t="s">
        <v>75</v>
      </c>
      <c r="C55" s="4" t="str">
        <f t="shared" si="2"/>
        <v>RRTS29</v>
      </c>
      <c r="D55" s="1" t="s">
        <v>7</v>
      </c>
      <c r="E55" s="4"/>
      <c r="F55" s="4" t="str">
        <f>VLOOKUP(B55,Telemetria!B$2:E$98,3,0)</f>
        <v>Pendiente Instalacion</v>
      </c>
    </row>
    <row r="56">
      <c r="A56" s="2">
        <v>618.0</v>
      </c>
      <c r="B56" s="3" t="s">
        <v>76</v>
      </c>
      <c r="C56" s="4" t="str">
        <f t="shared" si="2"/>
        <v>RZTV41</v>
      </c>
      <c r="D56" s="1" t="s">
        <v>7</v>
      </c>
      <c r="E56" s="4"/>
      <c r="F56" s="4" t="str">
        <f>VLOOKUP(B56,Telemetria!B$2:E$98,3,0)</f>
        <v>Pendiente Instalacion</v>
      </c>
    </row>
    <row r="57">
      <c r="A57" s="2">
        <v>618.0</v>
      </c>
      <c r="B57" s="3" t="s">
        <v>77</v>
      </c>
      <c r="C57" s="4" t="str">
        <f t="shared" si="2"/>
        <v>VKDZ87</v>
      </c>
      <c r="D57" s="1" t="s">
        <v>9</v>
      </c>
      <c r="E57" s="4"/>
      <c r="F57" s="4" t="str">
        <f>VLOOKUP(B57,Telemetria!B$2:E$98,3,0)</f>
        <v>Instalacion Lista </v>
      </c>
    </row>
    <row r="58">
      <c r="A58" s="2">
        <v>618.0</v>
      </c>
      <c r="B58" s="3" t="s">
        <v>78</v>
      </c>
      <c r="C58" s="4" t="str">
        <f t="shared" si="2"/>
        <v>LCXH45</v>
      </c>
      <c r="D58" s="1" t="s">
        <v>7</v>
      </c>
      <c r="E58" s="4"/>
      <c r="F58" s="4" t="str">
        <f>VLOOKUP(B58,Telemetria!B$2:E$98,3,0)</f>
        <v>Instalacion Lista </v>
      </c>
    </row>
    <row r="59">
      <c r="A59" s="2">
        <v>618.0</v>
      </c>
      <c r="B59" s="3" t="s">
        <v>79</v>
      </c>
      <c r="C59" s="4" t="str">
        <f t="shared" si="2"/>
        <v>VKFD45</v>
      </c>
      <c r="D59" s="1" t="s">
        <v>9</v>
      </c>
      <c r="E59" s="4"/>
      <c r="F59" s="4" t="str">
        <f>VLOOKUP(B59,Telemetria!B$2:E$98,3,0)</f>
        <v>Pendiente Instalacion</v>
      </c>
    </row>
    <row r="60">
      <c r="A60" s="2">
        <v>657.0</v>
      </c>
      <c r="B60" s="3" t="s">
        <v>80</v>
      </c>
      <c r="C60" s="4" t="str">
        <f t="shared" si="2"/>
        <v>JSSK36</v>
      </c>
      <c r="D60" s="1" t="s">
        <v>9</v>
      </c>
      <c r="E60" s="4"/>
      <c r="F60" s="4" t="str">
        <f>VLOOKUP(B60,Telemetria!B$2:E$98,3,0)</f>
        <v>Instalacion Lista </v>
      </c>
    </row>
    <row r="61">
      <c r="A61" s="2">
        <v>657.0</v>
      </c>
      <c r="B61" s="3" t="s">
        <v>81</v>
      </c>
      <c r="C61" s="4" t="str">
        <f t="shared" si="2"/>
        <v>KGVB33</v>
      </c>
      <c r="D61" s="1" t="s">
        <v>7</v>
      </c>
      <c r="E61" s="4"/>
      <c r="F61" s="4" t="str">
        <f>VLOOKUP(B61,Telemetria!B$2:E$98,3,0)</f>
        <v>Pendiente Instalacion</v>
      </c>
    </row>
    <row r="62">
      <c r="A62" s="2">
        <v>697.0</v>
      </c>
      <c r="B62" s="3" t="s">
        <v>82</v>
      </c>
      <c r="C62" s="4" t="str">
        <f t="shared" si="2"/>
        <v>TVFT65</v>
      </c>
      <c r="D62" s="1" t="s">
        <v>7</v>
      </c>
      <c r="E62" s="1" t="s">
        <v>83</v>
      </c>
      <c r="F62" s="4" t="str">
        <f>VLOOKUP(B62,Telemetria!B$2:E$98,3,0)</f>
        <v>Instalacion Lista </v>
      </c>
      <c r="G62" s="5" t="s">
        <v>84</v>
      </c>
    </row>
    <row r="63">
      <c r="A63" s="2">
        <v>697.0</v>
      </c>
      <c r="B63" s="1" t="s">
        <v>85</v>
      </c>
      <c r="C63" s="4" t="str">
        <f t="shared" si="2"/>
        <v>TVGC43</v>
      </c>
      <c r="D63" s="1" t="s">
        <v>7</v>
      </c>
      <c r="E63" s="1" t="s">
        <v>83</v>
      </c>
      <c r="F63" s="4" t="str">
        <f>VLOOKUP(B63,Telemetria!B$2:E$98,3,0)</f>
        <v>Instalacion Lista </v>
      </c>
    </row>
    <row r="64">
      <c r="A64" s="2">
        <v>697.0</v>
      </c>
      <c r="B64" s="3" t="s">
        <v>86</v>
      </c>
      <c r="C64" s="4" t="str">
        <f t="shared" si="2"/>
        <v>TZTH82</v>
      </c>
      <c r="D64" s="1" t="s">
        <v>7</v>
      </c>
      <c r="E64" s="1" t="s">
        <v>83</v>
      </c>
      <c r="F64" s="4" t="str">
        <f>VLOOKUP(B64,Telemetria!B$2:E$98,3,0)</f>
        <v>Instalacion Lista </v>
      </c>
      <c r="G64" s="5" t="s">
        <v>84</v>
      </c>
    </row>
    <row r="65">
      <c r="A65" s="2">
        <v>94.0</v>
      </c>
      <c r="B65" s="10" t="s">
        <v>87</v>
      </c>
      <c r="C65" s="11" t="str">
        <f t="shared" si="2"/>
        <v>JLGK20</v>
      </c>
      <c r="D65" s="1" t="s">
        <v>7</v>
      </c>
      <c r="E65" s="1" t="s">
        <v>88</v>
      </c>
      <c r="F65" s="4" t="str">
        <f>VLOOKUP(B65,Telemetria!B$2:E$98,3,0)</f>
        <v>Instalacion Lista </v>
      </c>
    </row>
    <row r="66">
      <c r="A66" s="2">
        <v>94.0</v>
      </c>
      <c r="B66" s="10" t="s">
        <v>89</v>
      </c>
      <c r="C66" s="11" t="str">
        <f t="shared" si="2"/>
        <v>PGHD38</v>
      </c>
      <c r="D66" s="1" t="s">
        <v>9</v>
      </c>
      <c r="E66" s="1" t="s">
        <v>88</v>
      </c>
      <c r="F66" s="4" t="str">
        <f>VLOOKUP(B66,Telemetria!B$2:E$98,3,0)</f>
        <v>Instalacion Lista </v>
      </c>
    </row>
    <row r="67">
      <c r="A67" s="2">
        <v>94.0</v>
      </c>
      <c r="B67" s="10" t="s">
        <v>90</v>
      </c>
      <c r="C67" s="11" t="str">
        <f t="shared" si="2"/>
        <v>PKKB35</v>
      </c>
      <c r="D67" s="1" t="s">
        <v>15</v>
      </c>
      <c r="E67" s="1" t="s">
        <v>88</v>
      </c>
      <c r="F67" s="4" t="str">
        <f>VLOOKUP(B67,Telemetria!B$2:E$98,3,0)</f>
        <v>Pendiente Instalacion</v>
      </c>
    </row>
    <row r="68">
      <c r="A68" s="2">
        <v>94.0</v>
      </c>
      <c r="B68" s="10" t="s">
        <v>91</v>
      </c>
      <c r="C68" s="11" t="str">
        <f t="shared" si="2"/>
        <v>TRYL78</v>
      </c>
      <c r="D68" s="1" t="s">
        <v>9</v>
      </c>
      <c r="E68" s="1" t="s">
        <v>88</v>
      </c>
      <c r="F68" s="4" t="str">
        <f>VLOOKUP(B68,Telemetria!B$2:E$98,3,0)</f>
        <v>Instalacion Lista </v>
      </c>
    </row>
    <row r="69">
      <c r="A69" s="2">
        <v>94.0</v>
      </c>
      <c r="B69" s="10" t="s">
        <v>92</v>
      </c>
      <c r="C69" s="11" t="str">
        <f t="shared" si="2"/>
        <v>VGWW22</v>
      </c>
      <c r="D69" s="1" t="s">
        <v>9</v>
      </c>
      <c r="E69" s="1" t="s">
        <v>93</v>
      </c>
      <c r="F69" s="4" t="str">
        <f>VLOOKUP(B69,Telemetria!B$2:E$98,3,0)</f>
        <v>Instalacion Lista </v>
      </c>
    </row>
    <row r="70">
      <c r="A70" s="2">
        <v>94.0</v>
      </c>
      <c r="B70" s="10" t="s">
        <v>94</v>
      </c>
      <c r="C70" s="11" t="str">
        <f t="shared" si="2"/>
        <v>KSXP45</v>
      </c>
      <c r="D70" s="1" t="s">
        <v>9</v>
      </c>
      <c r="E70" s="1" t="s">
        <v>88</v>
      </c>
      <c r="F70" s="4" t="str">
        <f>VLOOKUP(B70,Telemetria!B$2:E$98,3,0)</f>
        <v>Instalacion Lista </v>
      </c>
    </row>
    <row r="71">
      <c r="A71" s="2">
        <v>94.0</v>
      </c>
      <c r="B71" s="10" t="s">
        <v>95</v>
      </c>
      <c r="C71" s="11" t="str">
        <f t="shared" si="2"/>
        <v>HCBX11</v>
      </c>
      <c r="D71" s="1" t="s">
        <v>7</v>
      </c>
      <c r="E71" s="1" t="s">
        <v>88</v>
      </c>
      <c r="F71" s="4" t="str">
        <f>VLOOKUP(B71,Telemetria!B$2:E$98,3,0)</f>
        <v>Pendiente Instalacion</v>
      </c>
    </row>
    <row r="72">
      <c r="A72" s="2">
        <v>94.0</v>
      </c>
      <c r="B72" s="10" t="s">
        <v>96</v>
      </c>
      <c r="C72" s="11" t="str">
        <f t="shared" si="2"/>
        <v>SDYY74</v>
      </c>
      <c r="D72" s="1" t="s">
        <v>7</v>
      </c>
      <c r="E72" s="1" t="s">
        <v>97</v>
      </c>
      <c r="F72" s="4" t="str">
        <f>VLOOKUP(B72,Telemetria!B$2:E$98,3,0)</f>
        <v>Instalacion Lista </v>
      </c>
    </row>
    <row r="73">
      <c r="A73" s="2">
        <v>94.0</v>
      </c>
      <c r="B73" s="10" t="s">
        <v>98</v>
      </c>
      <c r="C73" s="11" t="str">
        <f t="shared" si="2"/>
        <v>LRXY26</v>
      </c>
      <c r="D73" s="1" t="s">
        <v>7</v>
      </c>
      <c r="E73" s="1" t="s">
        <v>88</v>
      </c>
      <c r="F73" s="4" t="str">
        <f>VLOOKUP(B73,Telemetria!B$2:E$98,3,0)</f>
        <v>Pendiente Instalacion</v>
      </c>
    </row>
    <row r="74">
      <c r="A74" s="2">
        <v>98.0</v>
      </c>
      <c r="B74" s="3" t="s">
        <v>99</v>
      </c>
      <c r="C74" s="4" t="str">
        <f t="shared" si="2"/>
        <v>LSVH23</v>
      </c>
      <c r="D74" s="1" t="s">
        <v>9</v>
      </c>
      <c r="E74" s="1" t="s">
        <v>32</v>
      </c>
      <c r="F74" s="4" t="str">
        <f>VLOOKUP(B74,Telemetria!B$2:E$98,3,0)</f>
        <v>Instalacion Lista </v>
      </c>
    </row>
    <row r="75">
      <c r="A75" s="2">
        <v>98.0</v>
      </c>
      <c r="B75" s="3" t="s">
        <v>100</v>
      </c>
      <c r="C75" s="4" t="str">
        <f t="shared" si="2"/>
        <v>LXGS39</v>
      </c>
      <c r="D75" s="1" t="s">
        <v>15</v>
      </c>
      <c r="E75" s="1" t="s">
        <v>32</v>
      </c>
      <c r="F75" s="4" t="str">
        <f>VLOOKUP(B75,Telemetria!B$2:E$98,3,0)</f>
        <v>Instalacion Lista </v>
      </c>
    </row>
    <row r="76">
      <c r="A76" s="2">
        <v>98.0</v>
      </c>
      <c r="B76" s="3" t="s">
        <v>101</v>
      </c>
      <c r="C76" s="4" t="str">
        <f t="shared" si="2"/>
        <v>PCJZ43</v>
      </c>
      <c r="D76" s="1" t="s">
        <v>7</v>
      </c>
      <c r="E76" s="1" t="s">
        <v>32</v>
      </c>
      <c r="F76" s="4" t="str">
        <f>VLOOKUP(B76,Telemetria!B$2:E$98,3,0)</f>
        <v>Instalacion Lista </v>
      </c>
    </row>
    <row r="77">
      <c r="A77" s="2">
        <v>98.0</v>
      </c>
      <c r="B77" s="12" t="s">
        <v>102</v>
      </c>
      <c r="C77" s="4" t="str">
        <f t="shared" si="2"/>
        <v>TRPP43</v>
      </c>
      <c r="D77" s="1" t="s">
        <v>9</v>
      </c>
      <c r="E77" s="1" t="s">
        <v>32</v>
      </c>
      <c r="F77" s="4" t="str">
        <f>VLOOKUP(B77,Telemetria!B$2:E$98,3,0)</f>
        <v>Instalacion Lista </v>
      </c>
    </row>
    <row r="78">
      <c r="A78" s="2">
        <v>98.0</v>
      </c>
      <c r="B78" s="3" t="s">
        <v>103</v>
      </c>
      <c r="C78" s="4" t="str">
        <f t="shared" si="2"/>
        <v>RBYF40</v>
      </c>
      <c r="D78" s="1" t="s">
        <v>7</v>
      </c>
      <c r="E78" s="1" t="s">
        <v>32</v>
      </c>
      <c r="F78" s="4" t="str">
        <f>VLOOKUP(B78,Telemetria!B$2:E$98,3,0)</f>
        <v>Instalacion Lista </v>
      </c>
    </row>
    <row r="79">
      <c r="A79" s="2">
        <v>98.0</v>
      </c>
      <c r="B79" s="3" t="s">
        <v>104</v>
      </c>
      <c r="C79" s="4" t="str">
        <f t="shared" si="2"/>
        <v>SKXW43</v>
      </c>
      <c r="D79" s="1" t="s">
        <v>9</v>
      </c>
      <c r="E79" s="1" t="s">
        <v>32</v>
      </c>
      <c r="F79" s="4" t="str">
        <f>VLOOKUP(B79,Telemetria!B$2:E$98,3,0)</f>
        <v>Instalacion Lista </v>
      </c>
    </row>
    <row r="80">
      <c r="A80" s="2">
        <v>98.0</v>
      </c>
      <c r="B80" s="3" t="s">
        <v>105</v>
      </c>
      <c r="C80" s="4" t="str">
        <f t="shared" si="2"/>
        <v>TJDR58</v>
      </c>
      <c r="D80" s="1" t="s">
        <v>9</v>
      </c>
      <c r="E80" s="1" t="s">
        <v>32</v>
      </c>
      <c r="F80" s="4" t="str">
        <f>VLOOKUP(B80,Telemetria!B$2:E$98,3,0)</f>
        <v>Instalacion Lista </v>
      </c>
    </row>
    <row r="81">
      <c r="A81" s="2">
        <v>98.0</v>
      </c>
      <c r="B81" s="3" t="s">
        <v>106</v>
      </c>
      <c r="C81" s="4" t="str">
        <f t="shared" si="2"/>
        <v>TWRJ22</v>
      </c>
      <c r="D81" s="1" t="s">
        <v>9</v>
      </c>
      <c r="E81" s="1" t="s">
        <v>32</v>
      </c>
      <c r="F81" s="4" t="str">
        <f>VLOOKUP(B81,Telemetria!B$2:E$98,3,0)</f>
        <v>Instalacion Lista </v>
      </c>
    </row>
    <row r="82">
      <c r="A82" s="2">
        <v>99.0</v>
      </c>
      <c r="B82" s="3" t="s">
        <v>107</v>
      </c>
      <c r="C82" s="4" t="str">
        <f t="shared" si="2"/>
        <v>JTYF43</v>
      </c>
      <c r="D82" s="1" t="s">
        <v>9</v>
      </c>
      <c r="E82" s="4"/>
      <c r="F82" s="4" t="str">
        <f>VLOOKUP(B82,Telemetria!B$2:E$98,3,0)</f>
        <v>Instalacion Lista </v>
      </c>
    </row>
    <row r="83">
      <c r="A83" s="2">
        <v>99.0</v>
      </c>
      <c r="B83" s="3" t="s">
        <v>108</v>
      </c>
      <c r="C83" s="4" t="str">
        <f t="shared" si="2"/>
        <v>LHZW29</v>
      </c>
      <c r="D83" s="1" t="s">
        <v>9</v>
      </c>
      <c r="E83" s="4"/>
      <c r="F83" s="4" t="str">
        <f>VLOOKUP(B83,Telemetria!B$2:E$98,3,0)</f>
        <v>Instalacion Lista </v>
      </c>
    </row>
    <row r="84">
      <c r="A84" s="2">
        <v>99.0</v>
      </c>
      <c r="B84" s="3" t="s">
        <v>109</v>
      </c>
      <c r="C84" s="4" t="str">
        <f t="shared" si="2"/>
        <v>LLXD43</v>
      </c>
      <c r="D84" s="1" t="s">
        <v>9</v>
      </c>
      <c r="E84" s="4"/>
      <c r="F84" s="4" t="str">
        <f>VLOOKUP(B84,Telemetria!B$2:E$98,3,0)</f>
        <v>Instalacion Lista </v>
      </c>
    </row>
    <row r="85">
      <c r="A85" s="2">
        <v>99.0</v>
      </c>
      <c r="B85" s="3" t="s">
        <v>110</v>
      </c>
      <c r="C85" s="4" t="str">
        <f t="shared" si="2"/>
        <v>RFCG91</v>
      </c>
      <c r="D85" s="1" t="s">
        <v>15</v>
      </c>
      <c r="E85" s="4"/>
      <c r="F85" s="4" t="str">
        <f>VLOOKUP(B85,Telemetria!B$2:E$98,3,0)</f>
        <v>Pendiente Instalacion</v>
      </c>
    </row>
    <row r="86">
      <c r="A86" s="2">
        <v>99.0</v>
      </c>
      <c r="B86" s="3" t="s">
        <v>111</v>
      </c>
      <c r="C86" s="4" t="str">
        <f t="shared" si="2"/>
        <v>RHTD68</v>
      </c>
      <c r="D86" s="1" t="s">
        <v>7</v>
      </c>
      <c r="E86" s="1" t="s">
        <v>112</v>
      </c>
      <c r="F86" s="4" t="str">
        <f>VLOOKUP(B86,Telemetria!B$2:E$98,3,0)</f>
        <v>Instalacion Lista </v>
      </c>
    </row>
    <row r="87">
      <c r="A87" s="2">
        <v>99.0</v>
      </c>
      <c r="B87" s="3" t="s">
        <v>113</v>
      </c>
      <c r="C87" s="4" t="str">
        <f t="shared" si="2"/>
        <v>RZGZ30</v>
      </c>
      <c r="D87" s="1" t="s">
        <v>9</v>
      </c>
      <c r="E87" s="4"/>
      <c r="F87" s="4" t="str">
        <f>VLOOKUP(B87,Telemetria!B$2:E$98,3,0)</f>
        <v>Pendiente Instalacion</v>
      </c>
    </row>
    <row r="88">
      <c r="A88" s="13"/>
      <c r="B88" s="13"/>
      <c r="C88" s="13"/>
      <c r="D88" s="13"/>
      <c r="E88" s="13"/>
      <c r="F88" s="13"/>
    </row>
    <row r="89">
      <c r="A89" s="13"/>
      <c r="B89" s="13"/>
      <c r="C89" s="13"/>
      <c r="D89" s="13"/>
      <c r="E89" s="13"/>
      <c r="F89" s="13"/>
    </row>
    <row r="90">
      <c r="A90" s="13"/>
      <c r="B90" s="13"/>
      <c r="C90" s="13"/>
      <c r="D90" s="13"/>
      <c r="E90" s="13"/>
      <c r="F90" s="13"/>
    </row>
    <row r="91">
      <c r="A91" s="13"/>
      <c r="B91" s="13"/>
      <c r="C91" s="13"/>
      <c r="D91" s="13"/>
      <c r="E91" s="13"/>
      <c r="F91" s="13"/>
    </row>
    <row r="92">
      <c r="A92" s="13"/>
      <c r="B92" s="13"/>
      <c r="C92" s="13"/>
      <c r="D92" s="13"/>
      <c r="E92" s="13"/>
      <c r="F92" s="13"/>
    </row>
    <row r="93">
      <c r="A93" s="13"/>
      <c r="B93" s="13"/>
      <c r="C93" s="13"/>
      <c r="D93" s="13"/>
      <c r="E93" s="13"/>
      <c r="F93" s="13"/>
    </row>
    <row r="94">
      <c r="A94" s="13"/>
      <c r="B94" s="13"/>
      <c r="C94" s="13"/>
      <c r="D94" s="13"/>
      <c r="E94" s="13"/>
      <c r="F94" s="13"/>
    </row>
    <row r="95">
      <c r="A95" s="13"/>
      <c r="B95" s="13"/>
      <c r="C95" s="13"/>
      <c r="D95" s="13"/>
      <c r="E95" s="13"/>
      <c r="F95" s="13"/>
    </row>
    <row r="96">
      <c r="A96" s="13"/>
      <c r="B96" s="13"/>
      <c r="C96" s="13"/>
      <c r="D96" s="13"/>
      <c r="E96" s="13"/>
      <c r="F96" s="13"/>
    </row>
    <row r="97">
      <c r="A97" s="13"/>
      <c r="B97" s="13"/>
      <c r="C97" s="13"/>
      <c r="D97" s="13"/>
      <c r="E97" s="13"/>
      <c r="F97" s="13"/>
    </row>
    <row r="98">
      <c r="A98" s="13"/>
      <c r="B98" s="13"/>
      <c r="C98" s="13"/>
      <c r="D98" s="13"/>
      <c r="E98" s="13"/>
      <c r="F98" s="13"/>
    </row>
    <row r="99">
      <c r="A99" s="13"/>
      <c r="B99" s="13"/>
      <c r="C99" s="13"/>
      <c r="D99" s="13"/>
      <c r="E99" s="13"/>
      <c r="F99" s="13"/>
    </row>
    <row r="100">
      <c r="A100" s="13"/>
      <c r="B100" s="13"/>
      <c r="C100" s="13"/>
      <c r="D100" s="13"/>
      <c r="E100" s="13"/>
      <c r="F100" s="13"/>
    </row>
    <row r="101">
      <c r="A101" s="13"/>
      <c r="B101" s="13"/>
      <c r="C101" s="13"/>
      <c r="D101" s="13"/>
      <c r="E101" s="13"/>
      <c r="F101" s="13"/>
    </row>
    <row r="102">
      <c r="A102" s="13"/>
      <c r="B102" s="13"/>
      <c r="C102" s="13"/>
      <c r="D102" s="13"/>
      <c r="E102" s="13"/>
      <c r="F102" s="13"/>
    </row>
    <row r="103">
      <c r="A103" s="13"/>
      <c r="B103" s="13"/>
      <c r="C103" s="13"/>
      <c r="D103" s="13"/>
      <c r="E103" s="13"/>
      <c r="F103" s="13"/>
    </row>
    <row r="104">
      <c r="A104" s="13"/>
      <c r="B104" s="13"/>
      <c r="C104" s="13"/>
      <c r="D104" s="13"/>
      <c r="E104" s="13"/>
      <c r="F104" s="13"/>
    </row>
    <row r="105">
      <c r="A105" s="13"/>
      <c r="B105" s="13"/>
      <c r="C105" s="13"/>
      <c r="D105" s="13"/>
      <c r="E105" s="13"/>
      <c r="F105" s="13"/>
    </row>
    <row r="106">
      <c r="A106" s="13"/>
      <c r="B106" s="13"/>
      <c r="C106" s="13"/>
      <c r="D106" s="13"/>
      <c r="E106" s="13"/>
      <c r="F106" s="13"/>
    </row>
    <row r="107">
      <c r="A107" s="13"/>
      <c r="B107" s="13"/>
      <c r="C107" s="13"/>
      <c r="D107" s="13"/>
      <c r="E107" s="13"/>
      <c r="F107" s="13"/>
    </row>
    <row r="108">
      <c r="A108" s="13"/>
      <c r="B108" s="13"/>
      <c r="C108" s="13"/>
      <c r="D108" s="13"/>
      <c r="E108" s="13"/>
      <c r="F108" s="13"/>
    </row>
    <row r="109">
      <c r="A109" s="13"/>
      <c r="B109" s="13"/>
      <c r="C109" s="13"/>
      <c r="D109" s="13"/>
      <c r="E109" s="13"/>
      <c r="F109" s="13"/>
    </row>
    <row r="110">
      <c r="A110" s="13"/>
      <c r="B110" s="13"/>
      <c r="C110" s="13"/>
      <c r="D110" s="13"/>
      <c r="E110" s="13"/>
      <c r="F110" s="13"/>
    </row>
    <row r="111">
      <c r="A111" s="13"/>
      <c r="B111" s="13"/>
      <c r="C111" s="13"/>
      <c r="D111" s="13"/>
      <c r="E111" s="13"/>
      <c r="F111" s="13"/>
    </row>
    <row r="112">
      <c r="A112" s="13"/>
      <c r="B112" s="13"/>
      <c r="C112" s="13"/>
      <c r="D112" s="13"/>
      <c r="E112" s="13"/>
      <c r="F112" s="13"/>
    </row>
    <row r="113">
      <c r="A113" s="13"/>
      <c r="B113" s="13"/>
      <c r="C113" s="13"/>
      <c r="D113" s="13"/>
      <c r="E113" s="13"/>
      <c r="F113" s="13"/>
    </row>
    <row r="114">
      <c r="A114" s="13"/>
      <c r="B114" s="13"/>
      <c r="C114" s="13"/>
      <c r="D114" s="13"/>
      <c r="E114" s="13"/>
      <c r="F114" s="13"/>
    </row>
    <row r="115">
      <c r="A115" s="13"/>
      <c r="B115" s="13"/>
      <c r="C115" s="13"/>
      <c r="D115" s="13"/>
      <c r="E115" s="13"/>
      <c r="F115" s="13"/>
    </row>
    <row r="116">
      <c r="A116" s="13"/>
      <c r="B116" s="13"/>
      <c r="C116" s="13"/>
      <c r="D116" s="13"/>
      <c r="E116" s="13"/>
      <c r="F116" s="13"/>
    </row>
    <row r="117">
      <c r="A117" s="13"/>
      <c r="B117" s="13"/>
      <c r="C117" s="13"/>
      <c r="D117" s="13"/>
      <c r="E117" s="13"/>
      <c r="F117" s="13"/>
    </row>
    <row r="118">
      <c r="A118" s="13"/>
      <c r="B118" s="13"/>
      <c r="C118" s="13"/>
      <c r="D118" s="13"/>
      <c r="E118" s="13"/>
      <c r="F118" s="13"/>
    </row>
    <row r="119">
      <c r="A119" s="13"/>
      <c r="B119" s="13"/>
      <c r="C119" s="13"/>
      <c r="D119" s="13"/>
      <c r="E119" s="13"/>
      <c r="F119" s="13"/>
    </row>
    <row r="120">
      <c r="A120" s="13"/>
      <c r="B120" s="13"/>
      <c r="C120" s="13"/>
      <c r="D120" s="13"/>
      <c r="E120" s="13"/>
      <c r="F120" s="13"/>
    </row>
    <row r="121">
      <c r="A121" s="13"/>
      <c r="B121" s="13"/>
      <c r="C121" s="13"/>
      <c r="D121" s="13"/>
      <c r="E121" s="13"/>
      <c r="F121" s="13"/>
    </row>
    <row r="122">
      <c r="A122" s="13"/>
      <c r="B122" s="13"/>
      <c r="C122" s="13"/>
      <c r="D122" s="13"/>
      <c r="E122" s="13"/>
      <c r="F122" s="13"/>
    </row>
    <row r="123">
      <c r="A123" s="13"/>
      <c r="B123" s="13"/>
      <c r="C123" s="13"/>
      <c r="D123" s="13"/>
      <c r="E123" s="13"/>
      <c r="F123" s="13"/>
    </row>
    <row r="124">
      <c r="A124" s="13"/>
      <c r="B124" s="13"/>
      <c r="C124" s="13"/>
      <c r="D124" s="13"/>
      <c r="E124" s="13"/>
      <c r="F124" s="13"/>
    </row>
    <row r="125">
      <c r="A125" s="13"/>
      <c r="B125" s="13"/>
      <c r="C125" s="13"/>
      <c r="D125" s="13"/>
      <c r="E125" s="13"/>
      <c r="F125" s="13"/>
    </row>
    <row r="126">
      <c r="A126" s="13"/>
      <c r="B126" s="13"/>
      <c r="C126" s="13"/>
      <c r="D126" s="13"/>
      <c r="E126" s="13"/>
      <c r="F126" s="13"/>
    </row>
    <row r="127">
      <c r="A127" s="13"/>
      <c r="B127" s="13"/>
      <c r="C127" s="13"/>
      <c r="D127" s="13"/>
      <c r="E127" s="13"/>
      <c r="F127" s="13"/>
    </row>
    <row r="128">
      <c r="A128" s="13"/>
      <c r="B128" s="13"/>
      <c r="C128" s="13"/>
      <c r="D128" s="13"/>
      <c r="E128" s="13"/>
      <c r="F128" s="13"/>
    </row>
    <row r="129">
      <c r="A129" s="13"/>
      <c r="B129" s="13"/>
      <c r="C129" s="13"/>
      <c r="D129" s="13"/>
      <c r="E129" s="13"/>
      <c r="F129" s="13"/>
    </row>
    <row r="130">
      <c r="A130" s="13"/>
      <c r="B130" s="13"/>
      <c r="C130" s="13"/>
      <c r="D130" s="13"/>
      <c r="E130" s="13"/>
      <c r="F130" s="13"/>
    </row>
    <row r="131">
      <c r="A131" s="13"/>
      <c r="B131" s="13"/>
      <c r="C131" s="13"/>
      <c r="D131" s="13"/>
      <c r="E131" s="13"/>
      <c r="F131" s="13"/>
    </row>
    <row r="132">
      <c r="A132" s="13"/>
      <c r="B132" s="13"/>
      <c r="C132" s="13"/>
      <c r="D132" s="13"/>
      <c r="E132" s="13"/>
      <c r="F132" s="13"/>
    </row>
    <row r="133">
      <c r="A133" s="13"/>
      <c r="B133" s="13"/>
      <c r="C133" s="13"/>
      <c r="D133" s="13"/>
      <c r="E133" s="13"/>
      <c r="F133" s="13"/>
    </row>
    <row r="134">
      <c r="A134" s="13"/>
      <c r="B134" s="13"/>
      <c r="C134" s="13"/>
      <c r="D134" s="13"/>
      <c r="E134" s="13"/>
      <c r="F134" s="13"/>
    </row>
    <row r="135">
      <c r="A135" s="13"/>
      <c r="B135" s="13"/>
      <c r="C135" s="13"/>
      <c r="D135" s="13"/>
      <c r="E135" s="13"/>
      <c r="F135" s="13"/>
    </row>
    <row r="136">
      <c r="A136" s="13"/>
      <c r="B136" s="13"/>
      <c r="C136" s="13"/>
      <c r="D136" s="13"/>
      <c r="E136" s="13"/>
      <c r="F136" s="13"/>
    </row>
    <row r="137">
      <c r="A137" s="13"/>
      <c r="B137" s="13"/>
      <c r="C137" s="13"/>
      <c r="D137" s="13"/>
      <c r="E137" s="13"/>
      <c r="F137" s="13"/>
    </row>
    <row r="138">
      <c r="A138" s="13"/>
      <c r="B138" s="13"/>
      <c r="C138" s="13"/>
      <c r="D138" s="13"/>
      <c r="E138" s="13"/>
      <c r="F138" s="13"/>
    </row>
    <row r="139">
      <c r="A139" s="13"/>
      <c r="B139" s="13"/>
      <c r="C139" s="13"/>
      <c r="D139" s="13"/>
      <c r="E139" s="13"/>
      <c r="F139" s="13"/>
    </row>
    <row r="140">
      <c r="A140" s="13"/>
      <c r="B140" s="13"/>
      <c r="C140" s="13"/>
      <c r="D140" s="13"/>
      <c r="E140" s="13"/>
      <c r="F140" s="13"/>
    </row>
    <row r="141">
      <c r="A141" s="13"/>
      <c r="B141" s="13"/>
      <c r="C141" s="13"/>
      <c r="D141" s="13"/>
      <c r="E141" s="13"/>
      <c r="F141" s="13"/>
    </row>
    <row r="142">
      <c r="A142" s="13"/>
      <c r="B142" s="13"/>
      <c r="C142" s="13"/>
      <c r="D142" s="13"/>
      <c r="E142" s="13"/>
      <c r="F142" s="13"/>
    </row>
    <row r="143">
      <c r="A143" s="13"/>
      <c r="B143" s="13"/>
      <c r="C143" s="13"/>
      <c r="D143" s="13"/>
      <c r="E143" s="13"/>
      <c r="F143" s="13"/>
    </row>
    <row r="144">
      <c r="A144" s="13"/>
      <c r="B144" s="13"/>
      <c r="C144" s="13"/>
      <c r="D144" s="13"/>
      <c r="E144" s="13"/>
      <c r="F144" s="13"/>
    </row>
    <row r="145">
      <c r="A145" s="13"/>
      <c r="B145" s="13"/>
      <c r="C145" s="13"/>
      <c r="D145" s="13"/>
      <c r="E145" s="13"/>
      <c r="F145" s="13"/>
    </row>
    <row r="146">
      <c r="A146" s="13"/>
      <c r="B146" s="13"/>
      <c r="C146" s="13"/>
      <c r="D146" s="13"/>
      <c r="E146" s="13"/>
      <c r="F146" s="13"/>
    </row>
    <row r="147">
      <c r="A147" s="13"/>
      <c r="B147" s="13"/>
      <c r="C147" s="13"/>
      <c r="D147" s="13"/>
      <c r="E147" s="13"/>
      <c r="F147" s="13"/>
    </row>
    <row r="148">
      <c r="A148" s="13"/>
      <c r="B148" s="13"/>
      <c r="C148" s="13"/>
      <c r="D148" s="13"/>
      <c r="E148" s="13"/>
      <c r="F148" s="13"/>
    </row>
    <row r="149">
      <c r="A149" s="13"/>
      <c r="B149" s="13"/>
      <c r="C149" s="13"/>
      <c r="D149" s="13"/>
      <c r="E149" s="13"/>
      <c r="F149" s="13"/>
    </row>
    <row r="150">
      <c r="A150" s="13"/>
      <c r="B150" s="13"/>
      <c r="C150" s="13"/>
      <c r="D150" s="13"/>
      <c r="E150" s="13"/>
      <c r="F150" s="13"/>
    </row>
    <row r="151">
      <c r="A151" s="13"/>
      <c r="B151" s="13"/>
      <c r="C151" s="13"/>
      <c r="D151" s="13"/>
      <c r="E151" s="13"/>
      <c r="F151" s="13"/>
    </row>
    <row r="152">
      <c r="A152" s="13"/>
      <c r="B152" s="13"/>
      <c r="C152" s="13"/>
      <c r="D152" s="13"/>
      <c r="E152" s="13"/>
      <c r="F152" s="13"/>
    </row>
    <row r="153">
      <c r="A153" s="13"/>
      <c r="B153" s="13"/>
      <c r="C153" s="13"/>
      <c r="D153" s="13"/>
      <c r="E153" s="13"/>
      <c r="F153" s="13"/>
    </row>
    <row r="154">
      <c r="A154" s="13"/>
      <c r="B154" s="13"/>
      <c r="C154" s="13"/>
      <c r="D154" s="13"/>
      <c r="E154" s="13"/>
      <c r="F154" s="13"/>
    </row>
    <row r="155">
      <c r="A155" s="13"/>
      <c r="B155" s="13"/>
      <c r="C155" s="13"/>
      <c r="D155" s="13"/>
      <c r="E155" s="13"/>
      <c r="F155" s="13"/>
    </row>
    <row r="156">
      <c r="A156" s="13"/>
      <c r="B156" s="13"/>
      <c r="C156" s="13"/>
      <c r="D156" s="13"/>
      <c r="E156" s="13"/>
      <c r="F156" s="13"/>
    </row>
    <row r="157">
      <c r="A157" s="13"/>
      <c r="B157" s="13"/>
      <c r="C157" s="13"/>
      <c r="D157" s="13"/>
      <c r="E157" s="13"/>
      <c r="F157" s="13"/>
    </row>
    <row r="158">
      <c r="A158" s="13"/>
      <c r="B158" s="13"/>
      <c r="C158" s="13"/>
      <c r="D158" s="13"/>
      <c r="E158" s="13"/>
      <c r="F158" s="13"/>
    </row>
    <row r="159">
      <c r="A159" s="13"/>
      <c r="B159" s="13"/>
      <c r="C159" s="13"/>
      <c r="D159" s="13"/>
      <c r="E159" s="13"/>
      <c r="F159" s="13"/>
    </row>
    <row r="160">
      <c r="A160" s="13"/>
      <c r="B160" s="13"/>
      <c r="C160" s="13"/>
      <c r="D160" s="13"/>
      <c r="E160" s="13"/>
      <c r="F160" s="13"/>
    </row>
    <row r="161">
      <c r="A161" s="13"/>
      <c r="B161" s="13"/>
      <c r="C161" s="13"/>
      <c r="D161" s="13"/>
      <c r="E161" s="13"/>
      <c r="F161" s="13"/>
    </row>
    <row r="162">
      <c r="A162" s="13"/>
      <c r="B162" s="13"/>
      <c r="C162" s="13"/>
      <c r="D162" s="13"/>
      <c r="E162" s="13"/>
      <c r="F162" s="13"/>
    </row>
    <row r="163">
      <c r="A163" s="13"/>
      <c r="B163" s="13"/>
      <c r="C163" s="13"/>
      <c r="D163" s="13"/>
      <c r="E163" s="13"/>
      <c r="F163" s="13"/>
    </row>
    <row r="164">
      <c r="A164" s="13"/>
      <c r="B164" s="13"/>
      <c r="C164" s="13"/>
      <c r="D164" s="13"/>
      <c r="E164" s="13"/>
      <c r="F164" s="13"/>
    </row>
    <row r="165">
      <c r="A165" s="13"/>
      <c r="B165" s="13"/>
      <c r="C165" s="13"/>
      <c r="D165" s="13"/>
      <c r="E165" s="13"/>
      <c r="F165" s="13"/>
    </row>
    <row r="166">
      <c r="A166" s="13"/>
      <c r="B166" s="13"/>
      <c r="C166" s="13"/>
      <c r="D166" s="13"/>
      <c r="E166" s="13"/>
      <c r="F166" s="13"/>
    </row>
    <row r="167">
      <c r="A167" s="13"/>
      <c r="B167" s="13"/>
      <c r="C167" s="13"/>
      <c r="D167" s="13"/>
      <c r="E167" s="13"/>
      <c r="F167" s="13"/>
    </row>
    <row r="168">
      <c r="A168" s="13"/>
      <c r="B168" s="13"/>
      <c r="C168" s="13"/>
      <c r="D168" s="13"/>
      <c r="E168" s="13"/>
      <c r="F168" s="13"/>
    </row>
    <row r="169">
      <c r="A169" s="13"/>
      <c r="B169" s="13"/>
      <c r="C169" s="13"/>
      <c r="D169" s="13"/>
      <c r="E169" s="13"/>
      <c r="F169" s="13"/>
    </row>
    <row r="170">
      <c r="A170" s="13"/>
      <c r="B170" s="13"/>
      <c r="C170" s="13"/>
      <c r="D170" s="13"/>
      <c r="E170" s="13"/>
      <c r="F170" s="13"/>
    </row>
    <row r="171">
      <c r="A171" s="13"/>
      <c r="B171" s="13"/>
      <c r="C171" s="13"/>
      <c r="D171" s="13"/>
      <c r="E171" s="13"/>
      <c r="F171" s="13"/>
    </row>
    <row r="172">
      <c r="A172" s="13"/>
      <c r="B172" s="13"/>
      <c r="C172" s="13"/>
      <c r="D172" s="13"/>
      <c r="E172" s="13"/>
      <c r="F172" s="13"/>
    </row>
    <row r="173">
      <c r="A173" s="13"/>
      <c r="B173" s="13"/>
      <c r="C173" s="13"/>
      <c r="D173" s="13"/>
      <c r="E173" s="13"/>
      <c r="F173" s="13"/>
    </row>
    <row r="174">
      <c r="A174" s="13"/>
      <c r="B174" s="13"/>
      <c r="C174" s="13"/>
      <c r="D174" s="13"/>
      <c r="E174" s="13"/>
      <c r="F174" s="13"/>
    </row>
    <row r="175">
      <c r="A175" s="13"/>
      <c r="B175" s="13"/>
      <c r="C175" s="13"/>
      <c r="D175" s="13"/>
      <c r="E175" s="13"/>
      <c r="F175" s="13"/>
    </row>
    <row r="176">
      <c r="A176" s="13"/>
      <c r="B176" s="13"/>
      <c r="C176" s="13"/>
      <c r="D176" s="13"/>
      <c r="E176" s="13"/>
      <c r="F176" s="13"/>
    </row>
    <row r="177">
      <c r="A177" s="13"/>
      <c r="B177" s="13"/>
      <c r="C177" s="13"/>
      <c r="D177" s="13"/>
      <c r="E177" s="13"/>
      <c r="F177" s="13"/>
    </row>
    <row r="178">
      <c r="A178" s="13"/>
      <c r="B178" s="13"/>
      <c r="C178" s="13"/>
      <c r="D178" s="13"/>
      <c r="E178" s="13"/>
      <c r="F178" s="13"/>
    </row>
    <row r="179">
      <c r="A179" s="13"/>
      <c r="B179" s="13"/>
      <c r="C179" s="13"/>
      <c r="D179" s="13"/>
      <c r="E179" s="13"/>
      <c r="F179" s="13"/>
    </row>
    <row r="180">
      <c r="A180" s="13"/>
      <c r="B180" s="13"/>
      <c r="C180" s="13"/>
      <c r="D180" s="13"/>
      <c r="E180" s="13"/>
      <c r="F180" s="13"/>
    </row>
    <row r="181">
      <c r="A181" s="13"/>
      <c r="B181" s="13"/>
      <c r="C181" s="13"/>
      <c r="D181" s="13"/>
      <c r="E181" s="13"/>
      <c r="F181" s="13"/>
    </row>
    <row r="182">
      <c r="A182" s="13"/>
      <c r="B182" s="13"/>
      <c r="C182" s="13"/>
      <c r="D182" s="13"/>
      <c r="E182" s="13"/>
      <c r="F182" s="13"/>
    </row>
    <row r="183">
      <c r="A183" s="13"/>
      <c r="B183" s="13"/>
      <c r="C183" s="13"/>
      <c r="D183" s="13"/>
      <c r="E183" s="13"/>
      <c r="F183" s="13"/>
    </row>
    <row r="184">
      <c r="A184" s="13"/>
      <c r="B184" s="13"/>
      <c r="C184" s="13"/>
      <c r="D184" s="13"/>
      <c r="E184" s="13"/>
      <c r="F184" s="13"/>
    </row>
    <row r="185">
      <c r="A185" s="13"/>
      <c r="B185" s="13"/>
      <c r="C185" s="13"/>
      <c r="D185" s="13"/>
      <c r="E185" s="13"/>
      <c r="F185" s="13"/>
    </row>
    <row r="186">
      <c r="A186" s="13"/>
      <c r="B186" s="13"/>
      <c r="C186" s="13"/>
      <c r="D186" s="13"/>
      <c r="E186" s="13"/>
      <c r="F186" s="13"/>
    </row>
    <row r="187">
      <c r="A187" s="13"/>
      <c r="B187" s="13"/>
      <c r="C187" s="13"/>
      <c r="D187" s="13"/>
      <c r="E187" s="13"/>
      <c r="F187" s="13"/>
    </row>
    <row r="188">
      <c r="A188" s="13"/>
      <c r="B188" s="13"/>
      <c r="C188" s="13"/>
      <c r="D188" s="13"/>
      <c r="E188" s="13"/>
      <c r="F188" s="13"/>
    </row>
    <row r="189">
      <c r="A189" s="13"/>
      <c r="B189" s="13"/>
      <c r="C189" s="13"/>
      <c r="D189" s="13"/>
      <c r="E189" s="13"/>
      <c r="F189" s="13"/>
    </row>
    <row r="190">
      <c r="A190" s="13"/>
      <c r="B190" s="13"/>
      <c r="C190" s="13"/>
      <c r="D190" s="13"/>
      <c r="E190" s="13"/>
      <c r="F190" s="13"/>
    </row>
    <row r="191">
      <c r="A191" s="13"/>
      <c r="B191" s="13"/>
      <c r="C191" s="13"/>
      <c r="D191" s="13"/>
      <c r="E191" s="13"/>
      <c r="F191" s="13"/>
    </row>
    <row r="192">
      <c r="A192" s="13"/>
      <c r="B192" s="13"/>
      <c r="C192" s="13"/>
      <c r="D192" s="13"/>
      <c r="E192" s="13"/>
      <c r="F192" s="13"/>
    </row>
    <row r="193">
      <c r="A193" s="13"/>
      <c r="B193" s="13"/>
      <c r="C193" s="13"/>
      <c r="D193" s="13"/>
      <c r="E193" s="13"/>
      <c r="F193" s="13"/>
    </row>
    <row r="194">
      <c r="A194" s="13"/>
      <c r="B194" s="13"/>
      <c r="C194" s="13"/>
      <c r="D194" s="13"/>
      <c r="E194" s="13"/>
      <c r="F194" s="13"/>
    </row>
    <row r="195">
      <c r="A195" s="13"/>
      <c r="B195" s="13"/>
      <c r="C195" s="13"/>
      <c r="D195" s="13"/>
      <c r="E195" s="13"/>
      <c r="F195" s="13"/>
    </row>
    <row r="196">
      <c r="A196" s="13"/>
      <c r="B196" s="13"/>
      <c r="C196" s="13"/>
      <c r="D196" s="13"/>
      <c r="E196" s="13"/>
      <c r="F196" s="13"/>
    </row>
    <row r="197">
      <c r="A197" s="13"/>
      <c r="B197" s="13"/>
      <c r="C197" s="13"/>
      <c r="D197" s="13"/>
      <c r="E197" s="13"/>
      <c r="F197" s="13"/>
    </row>
    <row r="198">
      <c r="A198" s="13"/>
      <c r="B198" s="13"/>
      <c r="C198" s="13"/>
      <c r="D198" s="13"/>
      <c r="E198" s="13"/>
      <c r="F198" s="13"/>
    </row>
    <row r="199">
      <c r="A199" s="13"/>
      <c r="B199" s="13"/>
      <c r="C199" s="13"/>
      <c r="D199" s="13"/>
      <c r="E199" s="13"/>
      <c r="F199" s="13"/>
    </row>
    <row r="200">
      <c r="A200" s="13"/>
      <c r="B200" s="13"/>
      <c r="C200" s="13"/>
      <c r="D200" s="13"/>
      <c r="E200" s="13"/>
      <c r="F200" s="13"/>
    </row>
    <row r="201">
      <c r="A201" s="13"/>
      <c r="B201" s="13"/>
      <c r="C201" s="13"/>
      <c r="D201" s="13"/>
      <c r="E201" s="13"/>
      <c r="F201" s="13"/>
    </row>
    <row r="202">
      <c r="A202" s="13"/>
      <c r="B202" s="13"/>
      <c r="C202" s="13"/>
      <c r="D202" s="13"/>
      <c r="E202" s="13"/>
      <c r="F202" s="13"/>
    </row>
    <row r="203">
      <c r="A203" s="13"/>
      <c r="B203" s="13"/>
      <c r="C203" s="13"/>
      <c r="D203" s="13"/>
      <c r="E203" s="13"/>
      <c r="F203" s="13"/>
    </row>
    <row r="204">
      <c r="A204" s="13"/>
      <c r="B204" s="13"/>
      <c r="C204" s="13"/>
      <c r="D204" s="13"/>
      <c r="E204" s="13"/>
      <c r="F204" s="13"/>
    </row>
    <row r="205">
      <c r="A205" s="13"/>
      <c r="B205" s="13"/>
      <c r="C205" s="13"/>
      <c r="D205" s="13"/>
      <c r="E205" s="13"/>
      <c r="F205" s="13"/>
    </row>
    <row r="206">
      <c r="A206" s="13"/>
      <c r="B206" s="13"/>
      <c r="C206" s="13"/>
      <c r="D206" s="13"/>
      <c r="E206" s="13"/>
      <c r="F206" s="13"/>
    </row>
    <row r="207">
      <c r="A207" s="13"/>
      <c r="B207" s="13"/>
      <c r="C207" s="13"/>
      <c r="D207" s="13"/>
      <c r="E207" s="13"/>
      <c r="F207" s="13"/>
    </row>
    <row r="208">
      <c r="A208" s="13"/>
      <c r="B208" s="13"/>
      <c r="C208" s="13"/>
      <c r="D208" s="13"/>
      <c r="E208" s="13"/>
      <c r="F208" s="13"/>
    </row>
    <row r="209">
      <c r="A209" s="13"/>
      <c r="B209" s="13"/>
      <c r="C209" s="13"/>
      <c r="D209" s="13"/>
      <c r="E209" s="13"/>
      <c r="F209" s="13"/>
    </row>
    <row r="210">
      <c r="A210" s="13"/>
      <c r="B210" s="13"/>
      <c r="C210" s="13"/>
      <c r="D210" s="13"/>
      <c r="E210" s="13"/>
      <c r="F210" s="13"/>
    </row>
    <row r="211">
      <c r="A211" s="13"/>
      <c r="B211" s="13"/>
      <c r="C211" s="13"/>
      <c r="D211" s="13"/>
      <c r="E211" s="13"/>
      <c r="F211" s="13"/>
    </row>
    <row r="212">
      <c r="A212" s="13"/>
      <c r="B212" s="13"/>
      <c r="C212" s="13"/>
      <c r="D212" s="13"/>
      <c r="E212" s="13"/>
      <c r="F212" s="13"/>
    </row>
    <row r="213">
      <c r="A213" s="13"/>
      <c r="B213" s="13"/>
      <c r="C213" s="13"/>
      <c r="D213" s="13"/>
      <c r="E213" s="13"/>
      <c r="F213" s="13"/>
    </row>
    <row r="214">
      <c r="A214" s="13"/>
      <c r="B214" s="13"/>
      <c r="C214" s="13"/>
      <c r="D214" s="13"/>
      <c r="E214" s="13"/>
      <c r="F214" s="13"/>
    </row>
    <row r="215">
      <c r="A215" s="13"/>
      <c r="B215" s="13"/>
      <c r="C215" s="13"/>
      <c r="D215" s="13"/>
      <c r="E215" s="13"/>
      <c r="F215" s="13"/>
    </row>
    <row r="216">
      <c r="A216" s="13"/>
      <c r="B216" s="13"/>
      <c r="C216" s="13"/>
      <c r="D216" s="13"/>
      <c r="E216" s="13"/>
      <c r="F216" s="13"/>
    </row>
    <row r="217">
      <c r="A217" s="13"/>
      <c r="B217" s="13"/>
      <c r="C217" s="13"/>
      <c r="D217" s="13"/>
      <c r="E217" s="13"/>
      <c r="F217" s="13"/>
    </row>
    <row r="218">
      <c r="A218" s="13"/>
      <c r="B218" s="13"/>
      <c r="C218" s="13"/>
      <c r="D218" s="13"/>
      <c r="E218" s="13"/>
      <c r="F218" s="13"/>
    </row>
    <row r="219">
      <c r="A219" s="13"/>
      <c r="B219" s="13"/>
      <c r="C219" s="13"/>
      <c r="D219" s="13"/>
      <c r="E219" s="13"/>
      <c r="F219" s="13"/>
    </row>
    <row r="220">
      <c r="A220" s="13"/>
      <c r="B220" s="13"/>
      <c r="C220" s="13"/>
      <c r="D220" s="13"/>
      <c r="E220" s="13"/>
      <c r="F220" s="13"/>
    </row>
    <row r="221">
      <c r="A221" s="13"/>
      <c r="B221" s="13"/>
      <c r="C221" s="13"/>
      <c r="D221" s="13"/>
      <c r="E221" s="13"/>
      <c r="F221" s="13"/>
    </row>
    <row r="222">
      <c r="A222" s="13"/>
      <c r="B222" s="13"/>
      <c r="C222" s="13"/>
      <c r="D222" s="13"/>
      <c r="E222" s="13"/>
      <c r="F222" s="13"/>
    </row>
    <row r="223">
      <c r="A223" s="13"/>
      <c r="B223" s="13"/>
      <c r="C223" s="13"/>
      <c r="D223" s="13"/>
      <c r="E223" s="13"/>
      <c r="F223" s="13"/>
    </row>
    <row r="224">
      <c r="A224" s="13"/>
      <c r="B224" s="13"/>
      <c r="C224" s="13"/>
      <c r="D224" s="13"/>
      <c r="E224" s="13"/>
      <c r="F224" s="13"/>
    </row>
    <row r="225">
      <c r="A225" s="13"/>
      <c r="B225" s="13"/>
      <c r="C225" s="13"/>
      <c r="D225" s="13"/>
      <c r="E225" s="13"/>
      <c r="F225" s="13"/>
    </row>
    <row r="226">
      <c r="A226" s="13"/>
      <c r="B226" s="13"/>
      <c r="C226" s="13"/>
      <c r="D226" s="13"/>
      <c r="E226" s="13"/>
      <c r="F226" s="13"/>
    </row>
    <row r="227">
      <c r="A227" s="13"/>
      <c r="B227" s="13"/>
      <c r="C227" s="13"/>
      <c r="D227" s="13"/>
      <c r="E227" s="13"/>
      <c r="F227" s="13"/>
    </row>
    <row r="228">
      <c r="A228" s="13"/>
      <c r="B228" s="13"/>
      <c r="C228" s="13"/>
      <c r="D228" s="13"/>
      <c r="E228" s="13"/>
      <c r="F228" s="13"/>
    </row>
    <row r="229">
      <c r="A229" s="13"/>
      <c r="B229" s="13"/>
      <c r="C229" s="13"/>
      <c r="D229" s="13"/>
      <c r="E229" s="13"/>
      <c r="F229" s="13"/>
    </row>
    <row r="230">
      <c r="A230" s="13"/>
      <c r="B230" s="13"/>
      <c r="C230" s="13"/>
      <c r="D230" s="13"/>
      <c r="E230" s="13"/>
      <c r="F230" s="13"/>
    </row>
    <row r="231">
      <c r="A231" s="13"/>
      <c r="B231" s="13"/>
      <c r="C231" s="13"/>
      <c r="D231" s="13"/>
      <c r="E231" s="13"/>
      <c r="F231" s="13"/>
    </row>
    <row r="232">
      <c r="A232" s="13"/>
      <c r="B232" s="13"/>
      <c r="C232" s="13"/>
      <c r="D232" s="13"/>
      <c r="E232" s="13"/>
      <c r="F232" s="13"/>
    </row>
    <row r="233">
      <c r="A233" s="13"/>
      <c r="B233" s="13"/>
      <c r="C233" s="13"/>
      <c r="D233" s="13"/>
      <c r="E233" s="13"/>
      <c r="F233" s="13"/>
    </row>
    <row r="234">
      <c r="A234" s="13"/>
      <c r="B234" s="13"/>
      <c r="C234" s="13"/>
      <c r="D234" s="13"/>
      <c r="E234" s="13"/>
      <c r="F234" s="13"/>
    </row>
    <row r="235">
      <c r="A235" s="13"/>
      <c r="B235" s="13"/>
      <c r="C235" s="13"/>
      <c r="D235" s="13"/>
      <c r="E235" s="13"/>
      <c r="F235" s="13"/>
    </row>
    <row r="236">
      <c r="A236" s="13"/>
      <c r="B236" s="13"/>
      <c r="C236" s="13"/>
      <c r="D236" s="13"/>
      <c r="E236" s="13"/>
      <c r="F236" s="13"/>
    </row>
    <row r="237">
      <c r="A237" s="13"/>
      <c r="B237" s="13"/>
      <c r="C237" s="13"/>
      <c r="D237" s="13"/>
      <c r="E237" s="13"/>
      <c r="F237" s="13"/>
    </row>
    <row r="238">
      <c r="A238" s="13"/>
      <c r="B238" s="13"/>
      <c r="C238" s="13"/>
      <c r="D238" s="13"/>
      <c r="E238" s="13"/>
      <c r="F238" s="13"/>
    </row>
    <row r="239">
      <c r="A239" s="13"/>
      <c r="B239" s="13"/>
      <c r="C239" s="13"/>
      <c r="D239" s="13"/>
      <c r="E239" s="13"/>
      <c r="F239" s="13"/>
    </row>
    <row r="240">
      <c r="A240" s="13"/>
      <c r="B240" s="13"/>
      <c r="C240" s="13"/>
      <c r="D240" s="13"/>
      <c r="E240" s="13"/>
      <c r="F240" s="13"/>
    </row>
    <row r="241">
      <c r="A241" s="13"/>
      <c r="B241" s="13"/>
      <c r="C241" s="13"/>
      <c r="D241" s="13"/>
      <c r="E241" s="13"/>
      <c r="F241" s="13"/>
    </row>
    <row r="242">
      <c r="A242" s="13"/>
      <c r="B242" s="13"/>
      <c r="C242" s="13"/>
      <c r="D242" s="13"/>
      <c r="E242" s="13"/>
      <c r="F242" s="13"/>
    </row>
    <row r="243">
      <c r="A243" s="13"/>
      <c r="B243" s="13"/>
      <c r="C243" s="13"/>
      <c r="D243" s="13"/>
      <c r="E243" s="13"/>
      <c r="F243" s="13"/>
    </row>
    <row r="244">
      <c r="A244" s="13"/>
      <c r="B244" s="13"/>
      <c r="C244" s="13"/>
      <c r="D244" s="13"/>
      <c r="E244" s="13"/>
      <c r="F244" s="13"/>
    </row>
    <row r="245">
      <c r="A245" s="13"/>
      <c r="B245" s="13"/>
      <c r="C245" s="13"/>
      <c r="D245" s="13"/>
      <c r="E245" s="13"/>
      <c r="F245" s="13"/>
    </row>
    <row r="246">
      <c r="A246" s="13"/>
      <c r="B246" s="13"/>
      <c r="C246" s="13"/>
      <c r="D246" s="13"/>
      <c r="E246" s="13"/>
      <c r="F246" s="13"/>
    </row>
    <row r="247">
      <c r="A247" s="13"/>
      <c r="B247" s="13"/>
      <c r="C247" s="13"/>
      <c r="D247" s="13"/>
      <c r="E247" s="13"/>
      <c r="F247" s="13"/>
    </row>
    <row r="248">
      <c r="A248" s="13"/>
      <c r="B248" s="13"/>
      <c r="C248" s="13"/>
      <c r="D248" s="13"/>
      <c r="E248" s="13"/>
      <c r="F248" s="13"/>
    </row>
    <row r="249">
      <c r="A249" s="13"/>
      <c r="B249" s="13"/>
      <c r="C249" s="13"/>
      <c r="D249" s="13"/>
      <c r="E249" s="13"/>
      <c r="F249" s="13"/>
    </row>
    <row r="250">
      <c r="A250" s="13"/>
      <c r="B250" s="13"/>
      <c r="C250" s="13"/>
      <c r="D250" s="13"/>
      <c r="E250" s="13"/>
      <c r="F250" s="13"/>
    </row>
    <row r="251">
      <c r="A251" s="13"/>
      <c r="B251" s="13"/>
      <c r="C251" s="13"/>
      <c r="D251" s="13"/>
      <c r="E251" s="13"/>
      <c r="F251" s="13"/>
    </row>
    <row r="252">
      <c r="A252" s="13"/>
      <c r="B252" s="13"/>
      <c r="C252" s="13"/>
      <c r="D252" s="13"/>
      <c r="E252" s="13"/>
      <c r="F252" s="13"/>
    </row>
    <row r="253">
      <c r="A253" s="13"/>
      <c r="B253" s="13"/>
      <c r="C253" s="13"/>
      <c r="D253" s="13"/>
      <c r="E253" s="13"/>
      <c r="F253" s="13"/>
    </row>
    <row r="254">
      <c r="A254" s="13"/>
      <c r="B254" s="13"/>
      <c r="C254" s="13"/>
      <c r="D254" s="13"/>
      <c r="E254" s="13"/>
      <c r="F254" s="13"/>
    </row>
    <row r="255">
      <c r="A255" s="13"/>
      <c r="B255" s="13"/>
      <c r="C255" s="13"/>
      <c r="D255" s="13"/>
      <c r="E255" s="13"/>
      <c r="F255" s="13"/>
    </row>
    <row r="256">
      <c r="A256" s="13"/>
      <c r="B256" s="13"/>
      <c r="C256" s="13"/>
      <c r="D256" s="13"/>
      <c r="E256" s="13"/>
      <c r="F256" s="13"/>
    </row>
    <row r="257">
      <c r="A257" s="13"/>
      <c r="B257" s="13"/>
      <c r="C257" s="13"/>
      <c r="D257" s="13"/>
      <c r="E257" s="13"/>
      <c r="F257" s="13"/>
    </row>
    <row r="258">
      <c r="A258" s="13"/>
      <c r="B258" s="13"/>
      <c r="C258" s="13"/>
      <c r="D258" s="13"/>
      <c r="E258" s="13"/>
      <c r="F258" s="13"/>
    </row>
    <row r="259">
      <c r="A259" s="13"/>
      <c r="B259" s="13"/>
      <c r="C259" s="13"/>
      <c r="D259" s="13"/>
      <c r="E259" s="13"/>
      <c r="F259" s="13"/>
    </row>
    <row r="260">
      <c r="A260" s="13"/>
      <c r="B260" s="13"/>
      <c r="C260" s="13"/>
      <c r="D260" s="13"/>
      <c r="E260" s="13"/>
      <c r="F260" s="13"/>
    </row>
    <row r="261">
      <c r="A261" s="13"/>
      <c r="B261" s="13"/>
      <c r="C261" s="13"/>
      <c r="D261" s="13"/>
      <c r="E261" s="13"/>
      <c r="F261" s="13"/>
    </row>
    <row r="262">
      <c r="A262" s="13"/>
      <c r="B262" s="13"/>
      <c r="C262" s="13"/>
      <c r="D262" s="13"/>
      <c r="E262" s="13"/>
      <c r="F262" s="13"/>
    </row>
    <row r="263">
      <c r="A263" s="13"/>
      <c r="B263" s="13"/>
      <c r="C263" s="13"/>
      <c r="D263" s="13"/>
      <c r="E263" s="13"/>
      <c r="F263" s="13"/>
    </row>
    <row r="264">
      <c r="A264" s="13"/>
      <c r="B264" s="13"/>
      <c r="C264" s="13"/>
      <c r="D264" s="13"/>
      <c r="E264" s="13"/>
      <c r="F264" s="13"/>
    </row>
    <row r="265">
      <c r="A265" s="13"/>
      <c r="B265" s="13"/>
      <c r="C265" s="13"/>
      <c r="D265" s="13"/>
      <c r="E265" s="13"/>
      <c r="F265" s="13"/>
    </row>
    <row r="266">
      <c r="A266" s="13"/>
      <c r="B266" s="13"/>
      <c r="C266" s="13"/>
      <c r="D266" s="13"/>
      <c r="E266" s="13"/>
      <c r="F266" s="13"/>
    </row>
    <row r="267">
      <c r="A267" s="13"/>
      <c r="B267" s="13"/>
      <c r="C267" s="13"/>
      <c r="D267" s="13"/>
      <c r="E267" s="13"/>
      <c r="F267" s="13"/>
    </row>
    <row r="268">
      <c r="A268" s="13"/>
      <c r="B268" s="13"/>
      <c r="C268" s="13"/>
      <c r="D268" s="13"/>
      <c r="E268" s="13"/>
      <c r="F268" s="13"/>
    </row>
    <row r="269">
      <c r="A269" s="13"/>
      <c r="B269" s="13"/>
      <c r="C269" s="13"/>
      <c r="D269" s="13"/>
      <c r="E269" s="13"/>
      <c r="F269" s="13"/>
    </row>
    <row r="270">
      <c r="A270" s="13"/>
      <c r="B270" s="13"/>
      <c r="C270" s="13"/>
      <c r="D270" s="13"/>
      <c r="E270" s="13"/>
      <c r="F270" s="13"/>
    </row>
    <row r="271">
      <c r="A271" s="13"/>
      <c r="B271" s="13"/>
      <c r="C271" s="13"/>
      <c r="D271" s="13"/>
      <c r="E271" s="13"/>
      <c r="F271" s="13"/>
    </row>
    <row r="272">
      <c r="A272" s="13"/>
      <c r="B272" s="13"/>
      <c r="C272" s="13"/>
      <c r="D272" s="13"/>
      <c r="E272" s="13"/>
      <c r="F272" s="13"/>
    </row>
    <row r="273">
      <c r="A273" s="13"/>
      <c r="B273" s="13"/>
      <c r="C273" s="13"/>
      <c r="D273" s="13"/>
      <c r="E273" s="13"/>
      <c r="F273" s="13"/>
    </row>
    <row r="274">
      <c r="A274" s="13"/>
      <c r="B274" s="13"/>
      <c r="C274" s="13"/>
      <c r="D274" s="13"/>
      <c r="E274" s="13"/>
      <c r="F274" s="13"/>
    </row>
    <row r="275">
      <c r="A275" s="13"/>
      <c r="B275" s="13"/>
      <c r="C275" s="13"/>
      <c r="D275" s="13"/>
      <c r="E275" s="13"/>
      <c r="F275" s="13"/>
    </row>
    <row r="276">
      <c r="A276" s="13"/>
      <c r="B276" s="13"/>
      <c r="C276" s="13"/>
      <c r="D276" s="13"/>
      <c r="E276" s="13"/>
      <c r="F276" s="13"/>
    </row>
    <row r="277">
      <c r="A277" s="13"/>
      <c r="B277" s="13"/>
      <c r="C277" s="13"/>
      <c r="D277" s="13"/>
      <c r="E277" s="13"/>
      <c r="F277" s="13"/>
    </row>
    <row r="278">
      <c r="A278" s="13"/>
      <c r="B278" s="13"/>
      <c r="C278" s="13"/>
      <c r="D278" s="13"/>
      <c r="E278" s="13"/>
      <c r="F278" s="13"/>
    </row>
    <row r="279">
      <c r="A279" s="13"/>
      <c r="B279" s="13"/>
      <c r="C279" s="13"/>
      <c r="D279" s="13"/>
      <c r="E279" s="13"/>
      <c r="F279" s="13"/>
    </row>
    <row r="280">
      <c r="A280" s="13"/>
      <c r="B280" s="13"/>
      <c r="C280" s="13"/>
      <c r="D280" s="13"/>
      <c r="E280" s="13"/>
      <c r="F280" s="13"/>
    </row>
    <row r="281">
      <c r="A281" s="13"/>
      <c r="B281" s="13"/>
      <c r="C281" s="13"/>
      <c r="D281" s="13"/>
      <c r="E281" s="13"/>
      <c r="F281" s="13"/>
    </row>
    <row r="282">
      <c r="A282" s="13"/>
      <c r="B282" s="13"/>
      <c r="C282" s="13"/>
      <c r="D282" s="13"/>
      <c r="E282" s="13"/>
      <c r="F282" s="13"/>
    </row>
    <row r="283">
      <c r="A283" s="13"/>
      <c r="B283" s="13"/>
      <c r="C283" s="13"/>
      <c r="D283" s="13"/>
      <c r="E283" s="13"/>
      <c r="F283" s="13"/>
    </row>
    <row r="284">
      <c r="A284" s="13"/>
      <c r="B284" s="13"/>
      <c r="C284" s="13"/>
      <c r="D284" s="13"/>
      <c r="E284" s="13"/>
      <c r="F284" s="13"/>
    </row>
    <row r="285">
      <c r="A285" s="13"/>
      <c r="B285" s="13"/>
      <c r="C285" s="13"/>
      <c r="D285" s="13"/>
      <c r="E285" s="13"/>
      <c r="F285" s="13"/>
    </row>
    <row r="286">
      <c r="A286" s="13"/>
      <c r="B286" s="13"/>
      <c r="C286" s="13"/>
      <c r="D286" s="13"/>
      <c r="E286" s="13"/>
      <c r="F286" s="13"/>
    </row>
    <row r="287">
      <c r="A287" s="13"/>
      <c r="B287" s="13"/>
      <c r="C287" s="13"/>
      <c r="D287" s="13"/>
      <c r="E287" s="13"/>
      <c r="F287" s="13"/>
    </row>
    <row r="288">
      <c r="A288" s="13"/>
      <c r="B288" s="13"/>
      <c r="C288" s="13"/>
      <c r="D288" s="13"/>
      <c r="E288" s="13"/>
      <c r="F288" s="13"/>
    </row>
    <row r="289">
      <c r="A289" s="13"/>
      <c r="B289" s="13"/>
      <c r="C289" s="13"/>
      <c r="D289" s="13"/>
      <c r="E289" s="13"/>
      <c r="F289" s="13"/>
    </row>
    <row r="290">
      <c r="A290" s="13"/>
      <c r="B290" s="13"/>
      <c r="C290" s="13"/>
      <c r="D290" s="13"/>
      <c r="E290" s="13"/>
      <c r="F290" s="13"/>
    </row>
    <row r="291">
      <c r="A291" s="13"/>
      <c r="B291" s="13"/>
      <c r="C291" s="13"/>
      <c r="D291" s="13"/>
      <c r="E291" s="13"/>
      <c r="F291" s="13"/>
    </row>
    <row r="292">
      <c r="A292" s="13"/>
      <c r="B292" s="13"/>
      <c r="C292" s="13"/>
      <c r="D292" s="13"/>
      <c r="E292" s="13"/>
      <c r="F292" s="13"/>
    </row>
    <row r="293">
      <c r="A293" s="13"/>
      <c r="B293" s="13"/>
      <c r="C293" s="13"/>
      <c r="D293" s="13"/>
      <c r="E293" s="13"/>
      <c r="F293" s="13"/>
    </row>
    <row r="294">
      <c r="A294" s="13"/>
      <c r="B294" s="13"/>
      <c r="C294" s="13"/>
      <c r="D294" s="13"/>
      <c r="E294" s="13"/>
      <c r="F294" s="13"/>
    </row>
    <row r="295">
      <c r="A295" s="13"/>
      <c r="B295" s="13"/>
      <c r="C295" s="13"/>
      <c r="D295" s="13"/>
      <c r="E295" s="13"/>
      <c r="F295" s="13"/>
    </row>
    <row r="296">
      <c r="A296" s="13"/>
      <c r="B296" s="13"/>
      <c r="C296" s="13"/>
      <c r="D296" s="13"/>
      <c r="E296" s="13"/>
      <c r="F296" s="13"/>
    </row>
    <row r="297">
      <c r="A297" s="13"/>
      <c r="B297" s="13"/>
      <c r="C297" s="13"/>
      <c r="D297" s="13"/>
      <c r="E297" s="13"/>
      <c r="F297" s="13"/>
    </row>
    <row r="298">
      <c r="A298" s="13"/>
      <c r="B298" s="13"/>
      <c r="C298" s="13"/>
      <c r="D298" s="13"/>
      <c r="E298" s="13"/>
      <c r="F298" s="13"/>
    </row>
    <row r="299">
      <c r="A299" s="13"/>
      <c r="B299" s="13"/>
      <c r="C299" s="13"/>
      <c r="D299" s="13"/>
      <c r="E299" s="13"/>
      <c r="F299" s="13"/>
    </row>
    <row r="300">
      <c r="A300" s="13"/>
      <c r="B300" s="13"/>
      <c r="C300" s="13"/>
      <c r="D300" s="13"/>
      <c r="E300" s="13"/>
      <c r="F300" s="13"/>
    </row>
    <row r="301">
      <c r="A301" s="13"/>
      <c r="B301" s="13"/>
      <c r="C301" s="13"/>
      <c r="D301" s="13"/>
      <c r="E301" s="13"/>
      <c r="F301" s="13"/>
    </row>
    <row r="302">
      <c r="A302" s="13"/>
      <c r="B302" s="13"/>
      <c r="C302" s="13"/>
      <c r="D302" s="13"/>
      <c r="E302" s="13"/>
      <c r="F302" s="13"/>
    </row>
    <row r="303">
      <c r="A303" s="13"/>
      <c r="B303" s="13"/>
      <c r="C303" s="13"/>
      <c r="D303" s="13"/>
      <c r="E303" s="13"/>
      <c r="F303" s="13"/>
    </row>
    <row r="304">
      <c r="A304" s="13"/>
      <c r="B304" s="13"/>
      <c r="C304" s="13"/>
      <c r="D304" s="13"/>
      <c r="E304" s="13"/>
      <c r="F304" s="13"/>
    </row>
    <row r="305">
      <c r="A305" s="13"/>
      <c r="B305" s="13"/>
      <c r="C305" s="13"/>
      <c r="D305" s="13"/>
      <c r="E305" s="13"/>
      <c r="F305" s="13"/>
    </row>
    <row r="306">
      <c r="A306" s="13"/>
      <c r="B306" s="13"/>
      <c r="C306" s="13"/>
      <c r="D306" s="13"/>
      <c r="E306" s="13"/>
      <c r="F306" s="13"/>
    </row>
    <row r="307">
      <c r="A307" s="13"/>
      <c r="B307" s="13"/>
      <c r="C307" s="13"/>
      <c r="D307" s="13"/>
      <c r="E307" s="13"/>
      <c r="F307" s="13"/>
    </row>
    <row r="308">
      <c r="A308" s="13"/>
      <c r="B308" s="13"/>
      <c r="C308" s="13"/>
      <c r="D308" s="13"/>
      <c r="E308" s="13"/>
      <c r="F308" s="13"/>
    </row>
    <row r="309">
      <c r="A309" s="13"/>
      <c r="B309" s="13"/>
      <c r="C309" s="13"/>
      <c r="D309" s="13"/>
      <c r="E309" s="13"/>
      <c r="F309" s="13"/>
    </row>
    <row r="310">
      <c r="A310" s="13"/>
      <c r="B310" s="13"/>
      <c r="C310" s="13"/>
      <c r="D310" s="13"/>
      <c r="E310" s="13"/>
      <c r="F310" s="13"/>
    </row>
    <row r="311">
      <c r="A311" s="13"/>
      <c r="B311" s="13"/>
      <c r="C311" s="13"/>
      <c r="D311" s="13"/>
      <c r="E311" s="13"/>
      <c r="F311" s="13"/>
    </row>
    <row r="312">
      <c r="A312" s="13"/>
      <c r="B312" s="13"/>
      <c r="C312" s="13"/>
      <c r="D312" s="13"/>
      <c r="E312" s="13"/>
      <c r="F312" s="13"/>
    </row>
    <row r="313">
      <c r="A313" s="13"/>
      <c r="B313" s="13"/>
      <c r="C313" s="13"/>
      <c r="D313" s="13"/>
      <c r="E313" s="13"/>
      <c r="F313" s="13"/>
    </row>
    <row r="314">
      <c r="A314" s="13"/>
      <c r="B314" s="13"/>
      <c r="C314" s="13"/>
      <c r="D314" s="13"/>
      <c r="E314" s="13"/>
      <c r="F314" s="13"/>
    </row>
    <row r="315">
      <c r="A315" s="13"/>
      <c r="B315" s="13"/>
      <c r="C315" s="13"/>
      <c r="D315" s="13"/>
      <c r="E315" s="13"/>
      <c r="F315" s="13"/>
    </row>
    <row r="316">
      <c r="A316" s="13"/>
      <c r="B316" s="13"/>
      <c r="C316" s="13"/>
      <c r="D316" s="13"/>
      <c r="E316" s="13"/>
      <c r="F316" s="13"/>
    </row>
    <row r="317">
      <c r="A317" s="13"/>
      <c r="B317" s="13"/>
      <c r="C317" s="13"/>
      <c r="D317" s="13"/>
      <c r="E317" s="13"/>
      <c r="F317" s="13"/>
    </row>
    <row r="318">
      <c r="A318" s="13"/>
      <c r="B318" s="13"/>
      <c r="C318" s="13"/>
      <c r="D318" s="13"/>
      <c r="E318" s="13"/>
      <c r="F318" s="13"/>
    </row>
    <row r="319">
      <c r="A319" s="13"/>
      <c r="B319" s="13"/>
      <c r="C319" s="13"/>
      <c r="D319" s="13"/>
      <c r="E319" s="13"/>
      <c r="F319" s="13"/>
    </row>
    <row r="320">
      <c r="A320" s="13"/>
      <c r="B320" s="13"/>
      <c r="C320" s="13"/>
      <c r="D320" s="13"/>
      <c r="E320" s="13"/>
      <c r="F320" s="13"/>
    </row>
    <row r="321">
      <c r="A321" s="13"/>
      <c r="B321" s="13"/>
      <c r="C321" s="13"/>
      <c r="D321" s="13"/>
      <c r="E321" s="13"/>
      <c r="F321" s="13"/>
    </row>
    <row r="322">
      <c r="A322" s="13"/>
      <c r="B322" s="13"/>
      <c r="C322" s="13"/>
      <c r="D322" s="13"/>
      <c r="E322" s="13"/>
      <c r="F322" s="13"/>
    </row>
    <row r="323">
      <c r="A323" s="13"/>
      <c r="B323" s="13"/>
      <c r="C323" s="13"/>
      <c r="D323" s="13"/>
      <c r="E323" s="13"/>
      <c r="F323" s="13"/>
    </row>
    <row r="324">
      <c r="A324" s="13"/>
      <c r="B324" s="13"/>
      <c r="C324" s="13"/>
      <c r="D324" s="13"/>
      <c r="E324" s="13"/>
      <c r="F324" s="13"/>
    </row>
    <row r="325">
      <c r="A325" s="13"/>
      <c r="B325" s="13"/>
      <c r="C325" s="13"/>
      <c r="D325" s="13"/>
      <c r="E325" s="13"/>
      <c r="F325" s="13"/>
    </row>
    <row r="326">
      <c r="A326" s="13"/>
      <c r="B326" s="13"/>
      <c r="C326" s="13"/>
      <c r="D326" s="13"/>
      <c r="E326" s="13"/>
      <c r="F326" s="13"/>
    </row>
    <row r="327">
      <c r="A327" s="13"/>
      <c r="B327" s="13"/>
      <c r="C327" s="13"/>
      <c r="D327" s="13"/>
      <c r="E327" s="13"/>
      <c r="F327" s="13"/>
    </row>
    <row r="328">
      <c r="A328" s="13"/>
      <c r="B328" s="13"/>
      <c r="C328" s="13"/>
      <c r="D328" s="13"/>
      <c r="E328" s="13"/>
      <c r="F328" s="13"/>
    </row>
    <row r="329">
      <c r="A329" s="13"/>
      <c r="B329" s="13"/>
      <c r="C329" s="13"/>
      <c r="D329" s="13"/>
      <c r="E329" s="13"/>
      <c r="F329" s="13"/>
    </row>
    <row r="330">
      <c r="A330" s="13"/>
      <c r="B330" s="13"/>
      <c r="C330" s="13"/>
      <c r="D330" s="13"/>
      <c r="E330" s="13"/>
      <c r="F330" s="13"/>
    </row>
    <row r="331">
      <c r="A331" s="13"/>
      <c r="B331" s="13"/>
      <c r="C331" s="13"/>
      <c r="D331" s="13"/>
      <c r="E331" s="13"/>
      <c r="F331" s="13"/>
    </row>
    <row r="332">
      <c r="A332" s="13"/>
      <c r="B332" s="13"/>
      <c r="C332" s="13"/>
      <c r="D332" s="13"/>
      <c r="E332" s="13"/>
      <c r="F332" s="13"/>
    </row>
    <row r="333">
      <c r="A333" s="13"/>
      <c r="B333" s="13"/>
      <c r="C333" s="13"/>
      <c r="D333" s="13"/>
      <c r="E333" s="13"/>
      <c r="F333" s="13"/>
    </row>
    <row r="334">
      <c r="A334" s="13"/>
      <c r="B334" s="13"/>
      <c r="C334" s="13"/>
      <c r="D334" s="13"/>
      <c r="E334" s="13"/>
      <c r="F334" s="13"/>
    </row>
    <row r="335">
      <c r="A335" s="13"/>
      <c r="B335" s="13"/>
      <c r="C335" s="13"/>
      <c r="D335" s="13"/>
      <c r="E335" s="13"/>
      <c r="F335" s="13"/>
    </row>
    <row r="336">
      <c r="A336" s="13"/>
      <c r="B336" s="13"/>
      <c r="C336" s="13"/>
      <c r="D336" s="13"/>
      <c r="E336" s="13"/>
      <c r="F336" s="13"/>
    </row>
    <row r="337">
      <c r="A337" s="13"/>
      <c r="B337" s="13"/>
      <c r="C337" s="13"/>
      <c r="D337" s="13"/>
      <c r="E337" s="13"/>
      <c r="F337" s="13"/>
    </row>
    <row r="338">
      <c r="A338" s="13"/>
      <c r="B338" s="13"/>
      <c r="C338" s="13"/>
      <c r="D338" s="13"/>
      <c r="E338" s="13"/>
      <c r="F338" s="13"/>
    </row>
    <row r="339">
      <c r="A339" s="13"/>
      <c r="B339" s="13"/>
      <c r="C339" s="13"/>
      <c r="D339" s="13"/>
      <c r="E339" s="13"/>
      <c r="F339" s="13"/>
    </row>
    <row r="340">
      <c r="A340" s="13"/>
      <c r="B340" s="13"/>
      <c r="C340" s="13"/>
      <c r="D340" s="13"/>
      <c r="E340" s="13"/>
      <c r="F340" s="13"/>
    </row>
    <row r="341">
      <c r="A341" s="13"/>
      <c r="B341" s="13"/>
      <c r="C341" s="13"/>
      <c r="D341" s="13"/>
      <c r="E341" s="13"/>
      <c r="F341" s="13"/>
    </row>
    <row r="342">
      <c r="A342" s="13"/>
      <c r="B342" s="13"/>
      <c r="C342" s="13"/>
      <c r="D342" s="13"/>
      <c r="E342" s="13"/>
      <c r="F342" s="13"/>
    </row>
    <row r="343">
      <c r="A343" s="13"/>
      <c r="B343" s="13"/>
      <c r="C343" s="13"/>
      <c r="D343" s="13"/>
      <c r="E343" s="13"/>
      <c r="F343" s="13"/>
    </row>
    <row r="344">
      <c r="A344" s="13"/>
      <c r="B344" s="13"/>
      <c r="C344" s="13"/>
      <c r="D344" s="13"/>
      <c r="E344" s="13"/>
      <c r="F344" s="13"/>
    </row>
    <row r="345">
      <c r="A345" s="13"/>
      <c r="B345" s="13"/>
      <c r="C345" s="13"/>
      <c r="D345" s="13"/>
      <c r="E345" s="13"/>
      <c r="F345" s="13"/>
    </row>
    <row r="346">
      <c r="A346" s="13"/>
      <c r="B346" s="13"/>
      <c r="C346" s="13"/>
      <c r="D346" s="13"/>
      <c r="E346" s="13"/>
      <c r="F346" s="13"/>
    </row>
    <row r="347">
      <c r="A347" s="13"/>
      <c r="B347" s="13"/>
      <c r="C347" s="13"/>
      <c r="D347" s="13"/>
      <c r="E347" s="13"/>
      <c r="F347" s="13"/>
    </row>
    <row r="348">
      <c r="A348" s="13"/>
      <c r="B348" s="13"/>
      <c r="C348" s="13"/>
      <c r="D348" s="13"/>
      <c r="E348" s="13"/>
      <c r="F348" s="13"/>
    </row>
    <row r="349">
      <c r="A349" s="13"/>
      <c r="B349" s="13"/>
      <c r="C349" s="13"/>
      <c r="D349" s="13"/>
      <c r="E349" s="13"/>
      <c r="F349" s="13"/>
    </row>
    <row r="350">
      <c r="A350" s="13"/>
      <c r="B350" s="13"/>
      <c r="C350" s="13"/>
      <c r="D350" s="13"/>
      <c r="E350" s="13"/>
      <c r="F350" s="13"/>
    </row>
    <row r="351">
      <c r="A351" s="13"/>
      <c r="B351" s="13"/>
      <c r="C351" s="13"/>
      <c r="D351" s="13"/>
      <c r="E351" s="13"/>
      <c r="F351" s="13"/>
    </row>
    <row r="352">
      <c r="A352" s="13"/>
      <c r="B352" s="13"/>
      <c r="C352" s="13"/>
      <c r="D352" s="13"/>
      <c r="E352" s="13"/>
      <c r="F352" s="13"/>
    </row>
    <row r="353">
      <c r="A353" s="13"/>
      <c r="B353" s="13"/>
      <c r="C353" s="13"/>
      <c r="D353" s="13"/>
      <c r="E353" s="13"/>
      <c r="F353" s="13"/>
    </row>
    <row r="354">
      <c r="A354" s="13"/>
      <c r="B354" s="13"/>
      <c r="C354" s="13"/>
      <c r="D354" s="13"/>
      <c r="E354" s="13"/>
      <c r="F354" s="13"/>
    </row>
    <row r="355">
      <c r="A355" s="13"/>
      <c r="B355" s="13"/>
      <c r="C355" s="13"/>
      <c r="D355" s="13"/>
      <c r="E355" s="13"/>
      <c r="F355" s="13"/>
    </row>
    <row r="356">
      <c r="A356" s="13"/>
      <c r="B356" s="13"/>
      <c r="C356" s="13"/>
      <c r="D356" s="13"/>
      <c r="E356" s="13"/>
      <c r="F356" s="13"/>
    </row>
    <row r="357">
      <c r="A357" s="13"/>
      <c r="B357" s="13"/>
      <c r="C357" s="13"/>
      <c r="D357" s="13"/>
      <c r="E357" s="13"/>
      <c r="F357" s="13"/>
    </row>
    <row r="358">
      <c r="A358" s="13"/>
      <c r="B358" s="13"/>
      <c r="C358" s="13"/>
      <c r="D358" s="13"/>
      <c r="E358" s="13"/>
      <c r="F358" s="13"/>
    </row>
    <row r="359">
      <c r="A359" s="13"/>
      <c r="B359" s="13"/>
      <c r="C359" s="13"/>
      <c r="D359" s="13"/>
      <c r="E359" s="13"/>
      <c r="F359" s="13"/>
    </row>
    <row r="360">
      <c r="A360" s="13"/>
      <c r="B360" s="13"/>
      <c r="C360" s="13"/>
      <c r="D360" s="13"/>
      <c r="E360" s="13"/>
      <c r="F360" s="13"/>
    </row>
    <row r="361">
      <c r="A361" s="13"/>
      <c r="B361" s="13"/>
      <c r="C361" s="13"/>
      <c r="D361" s="13"/>
      <c r="E361" s="13"/>
      <c r="F361" s="13"/>
    </row>
    <row r="362">
      <c r="A362" s="13"/>
      <c r="B362" s="13"/>
      <c r="C362" s="13"/>
      <c r="D362" s="13"/>
      <c r="E362" s="13"/>
      <c r="F362" s="13"/>
    </row>
    <row r="363">
      <c r="A363" s="13"/>
      <c r="B363" s="13"/>
      <c r="C363" s="13"/>
      <c r="D363" s="13"/>
      <c r="E363" s="13"/>
      <c r="F363" s="13"/>
    </row>
    <row r="364">
      <c r="A364" s="13"/>
      <c r="B364" s="13"/>
      <c r="C364" s="13"/>
      <c r="D364" s="13"/>
      <c r="E364" s="13"/>
      <c r="F364" s="13"/>
    </row>
    <row r="365">
      <c r="A365" s="13"/>
      <c r="B365" s="13"/>
      <c r="C365" s="13"/>
      <c r="D365" s="13"/>
      <c r="E365" s="13"/>
      <c r="F365" s="13"/>
    </row>
    <row r="366">
      <c r="A366" s="13"/>
      <c r="B366" s="13"/>
      <c r="C366" s="13"/>
      <c r="D366" s="13"/>
      <c r="E366" s="13"/>
      <c r="F366" s="13"/>
    </row>
    <row r="367">
      <c r="A367" s="13"/>
      <c r="B367" s="13"/>
      <c r="C367" s="13"/>
      <c r="D367" s="13"/>
      <c r="E367" s="13"/>
      <c r="F367" s="13"/>
    </row>
    <row r="368">
      <c r="A368" s="13"/>
      <c r="B368" s="13"/>
      <c r="C368" s="13"/>
      <c r="D368" s="13"/>
      <c r="E368" s="13"/>
      <c r="F368" s="13"/>
    </row>
    <row r="369">
      <c r="A369" s="13"/>
      <c r="B369" s="13"/>
      <c r="C369" s="13"/>
      <c r="D369" s="13"/>
      <c r="E369" s="13"/>
      <c r="F369" s="13"/>
    </row>
    <row r="370">
      <c r="A370" s="13"/>
      <c r="B370" s="13"/>
      <c r="C370" s="13"/>
      <c r="D370" s="13"/>
      <c r="E370" s="13"/>
      <c r="F370" s="13"/>
    </row>
    <row r="371">
      <c r="A371" s="13"/>
      <c r="B371" s="13"/>
      <c r="C371" s="13"/>
      <c r="D371" s="13"/>
      <c r="E371" s="13"/>
      <c r="F371" s="13"/>
    </row>
    <row r="372">
      <c r="A372" s="13"/>
      <c r="B372" s="13"/>
      <c r="C372" s="13"/>
      <c r="D372" s="13"/>
      <c r="E372" s="13"/>
      <c r="F372" s="13"/>
    </row>
    <row r="373">
      <c r="A373" s="13"/>
      <c r="B373" s="13"/>
      <c r="C373" s="13"/>
      <c r="D373" s="13"/>
      <c r="E373" s="13"/>
      <c r="F373" s="13"/>
    </row>
    <row r="374">
      <c r="A374" s="13"/>
      <c r="B374" s="13"/>
      <c r="C374" s="13"/>
      <c r="D374" s="13"/>
      <c r="E374" s="13"/>
      <c r="F374" s="13"/>
    </row>
    <row r="375">
      <c r="A375" s="13"/>
      <c r="B375" s="13"/>
      <c r="C375" s="13"/>
      <c r="D375" s="13"/>
      <c r="E375" s="13"/>
      <c r="F375" s="13"/>
    </row>
    <row r="376">
      <c r="A376" s="13"/>
      <c r="B376" s="13"/>
      <c r="C376" s="13"/>
      <c r="D376" s="13"/>
      <c r="E376" s="13"/>
      <c r="F376" s="13"/>
    </row>
    <row r="377">
      <c r="A377" s="13"/>
      <c r="B377" s="13"/>
      <c r="C377" s="13"/>
      <c r="D377" s="13"/>
      <c r="E377" s="13"/>
      <c r="F377" s="13"/>
    </row>
    <row r="378">
      <c r="A378" s="13"/>
      <c r="B378" s="13"/>
      <c r="C378" s="13"/>
      <c r="D378" s="13"/>
      <c r="E378" s="13"/>
      <c r="F378" s="13"/>
    </row>
    <row r="379">
      <c r="A379" s="13"/>
      <c r="B379" s="13"/>
      <c r="C379" s="13"/>
      <c r="D379" s="13"/>
      <c r="E379" s="13"/>
      <c r="F379" s="13"/>
    </row>
    <row r="380">
      <c r="A380" s="13"/>
      <c r="B380" s="13"/>
      <c r="C380" s="13"/>
      <c r="D380" s="13"/>
      <c r="E380" s="13"/>
      <c r="F380" s="13"/>
    </row>
    <row r="381">
      <c r="A381" s="13"/>
      <c r="B381" s="13"/>
      <c r="C381" s="13"/>
      <c r="D381" s="13"/>
      <c r="E381" s="13"/>
      <c r="F381" s="13"/>
    </row>
    <row r="382">
      <c r="A382" s="13"/>
      <c r="B382" s="13"/>
      <c r="C382" s="13"/>
      <c r="D382" s="13"/>
      <c r="E382" s="13"/>
      <c r="F382" s="13"/>
    </row>
    <row r="383">
      <c r="A383" s="13"/>
      <c r="B383" s="13"/>
      <c r="C383" s="13"/>
      <c r="D383" s="13"/>
      <c r="E383" s="13"/>
      <c r="F383" s="13"/>
    </row>
    <row r="384">
      <c r="A384" s="13"/>
      <c r="B384" s="13"/>
      <c r="C384" s="13"/>
      <c r="D384" s="13"/>
      <c r="E384" s="13"/>
      <c r="F384" s="13"/>
    </row>
    <row r="385">
      <c r="A385" s="13"/>
      <c r="B385" s="13"/>
      <c r="C385" s="13"/>
      <c r="D385" s="13"/>
      <c r="E385" s="13"/>
      <c r="F385" s="13"/>
    </row>
    <row r="386">
      <c r="A386" s="13"/>
      <c r="B386" s="13"/>
      <c r="C386" s="13"/>
      <c r="D386" s="13"/>
      <c r="E386" s="13"/>
      <c r="F386" s="13"/>
    </row>
    <row r="387">
      <c r="A387" s="13"/>
      <c r="B387" s="13"/>
      <c r="C387" s="13"/>
      <c r="D387" s="13"/>
      <c r="E387" s="13"/>
      <c r="F387" s="13"/>
    </row>
    <row r="388">
      <c r="A388" s="13"/>
      <c r="B388" s="13"/>
      <c r="C388" s="13"/>
      <c r="D388" s="13"/>
      <c r="E388" s="13"/>
      <c r="F388" s="13"/>
    </row>
    <row r="389">
      <c r="A389" s="13"/>
      <c r="B389" s="13"/>
      <c r="C389" s="13"/>
      <c r="D389" s="13"/>
      <c r="E389" s="13"/>
      <c r="F389" s="13"/>
    </row>
    <row r="390">
      <c r="A390" s="13"/>
      <c r="B390" s="13"/>
      <c r="C390" s="13"/>
      <c r="D390" s="13"/>
      <c r="E390" s="13"/>
      <c r="F390" s="13"/>
    </row>
    <row r="391">
      <c r="A391" s="13"/>
      <c r="B391" s="13"/>
      <c r="C391" s="13"/>
      <c r="D391" s="13"/>
      <c r="E391" s="13"/>
      <c r="F391" s="13"/>
    </row>
    <row r="392">
      <c r="A392" s="13"/>
      <c r="B392" s="13"/>
      <c r="C392" s="13"/>
      <c r="D392" s="13"/>
      <c r="E392" s="13"/>
      <c r="F392" s="13"/>
    </row>
    <row r="393">
      <c r="A393" s="13"/>
      <c r="B393" s="13"/>
      <c r="C393" s="13"/>
      <c r="D393" s="13"/>
      <c r="E393" s="13"/>
      <c r="F393" s="13"/>
    </row>
    <row r="394">
      <c r="A394" s="13"/>
      <c r="B394" s="13"/>
      <c r="C394" s="13"/>
      <c r="D394" s="13"/>
      <c r="E394" s="13"/>
      <c r="F394" s="13"/>
    </row>
    <row r="395">
      <c r="A395" s="13"/>
      <c r="B395" s="13"/>
      <c r="C395" s="13"/>
      <c r="D395" s="13"/>
      <c r="E395" s="13"/>
      <c r="F395" s="13"/>
    </row>
    <row r="396">
      <c r="A396" s="13"/>
      <c r="B396" s="13"/>
      <c r="C396" s="13"/>
      <c r="D396" s="13"/>
      <c r="E396" s="13"/>
      <c r="F396" s="13"/>
    </row>
    <row r="397">
      <c r="A397" s="13"/>
      <c r="B397" s="13"/>
      <c r="C397" s="13"/>
      <c r="D397" s="13"/>
      <c r="E397" s="13"/>
      <c r="F397" s="13"/>
    </row>
    <row r="398">
      <c r="A398" s="13"/>
      <c r="B398" s="13"/>
      <c r="C398" s="13"/>
      <c r="D398" s="13"/>
      <c r="E398" s="13"/>
      <c r="F398" s="13"/>
    </row>
    <row r="399">
      <c r="A399" s="13"/>
      <c r="B399" s="13"/>
      <c r="C399" s="13"/>
      <c r="D399" s="13"/>
      <c r="E399" s="13"/>
      <c r="F399" s="13"/>
    </row>
    <row r="400">
      <c r="A400" s="13"/>
      <c r="B400" s="13"/>
      <c r="C400" s="13"/>
      <c r="D400" s="13"/>
      <c r="E400" s="13"/>
      <c r="F400" s="13"/>
    </row>
    <row r="401">
      <c r="A401" s="13"/>
      <c r="B401" s="13"/>
      <c r="C401" s="13"/>
      <c r="D401" s="13"/>
      <c r="E401" s="13"/>
      <c r="F401" s="13"/>
    </row>
    <row r="402">
      <c r="A402" s="13"/>
      <c r="B402" s="13"/>
      <c r="C402" s="13"/>
      <c r="D402" s="13"/>
      <c r="E402" s="13"/>
      <c r="F402" s="13"/>
    </row>
    <row r="403">
      <c r="A403" s="13"/>
      <c r="B403" s="13"/>
      <c r="C403" s="13"/>
      <c r="D403" s="13"/>
      <c r="E403" s="13"/>
      <c r="F403" s="13"/>
    </row>
    <row r="404">
      <c r="A404" s="13"/>
      <c r="B404" s="13"/>
      <c r="C404" s="13"/>
      <c r="D404" s="13"/>
      <c r="E404" s="13"/>
      <c r="F404" s="13"/>
    </row>
    <row r="405">
      <c r="A405" s="13"/>
      <c r="B405" s="13"/>
      <c r="C405" s="13"/>
      <c r="D405" s="13"/>
      <c r="E405" s="13"/>
      <c r="F405" s="13"/>
    </row>
    <row r="406">
      <c r="A406" s="13"/>
      <c r="B406" s="13"/>
      <c r="C406" s="13"/>
      <c r="D406" s="13"/>
      <c r="E406" s="13"/>
      <c r="F406" s="13"/>
    </row>
    <row r="407">
      <c r="A407" s="13"/>
      <c r="B407" s="13"/>
      <c r="C407" s="13"/>
      <c r="D407" s="13"/>
      <c r="E407" s="13"/>
      <c r="F407" s="13"/>
    </row>
    <row r="408">
      <c r="A408" s="13"/>
      <c r="B408" s="13"/>
      <c r="C408" s="13"/>
      <c r="D408" s="13"/>
      <c r="E408" s="13"/>
      <c r="F408" s="13"/>
    </row>
    <row r="409">
      <c r="A409" s="13"/>
      <c r="B409" s="13"/>
      <c r="C409" s="13"/>
      <c r="D409" s="13"/>
      <c r="E409" s="13"/>
      <c r="F409" s="13"/>
    </row>
    <row r="410">
      <c r="A410" s="13"/>
      <c r="B410" s="13"/>
      <c r="C410" s="13"/>
      <c r="D410" s="13"/>
      <c r="E410" s="13"/>
      <c r="F410" s="13"/>
    </row>
    <row r="411">
      <c r="A411" s="13"/>
      <c r="B411" s="13"/>
      <c r="C411" s="13"/>
      <c r="D411" s="13"/>
      <c r="E411" s="13"/>
      <c r="F411" s="13"/>
    </row>
    <row r="412">
      <c r="A412" s="13"/>
      <c r="B412" s="13"/>
      <c r="C412" s="13"/>
      <c r="D412" s="13"/>
      <c r="E412" s="13"/>
      <c r="F412" s="13"/>
    </row>
    <row r="413">
      <c r="A413" s="13"/>
      <c r="B413" s="13"/>
      <c r="C413" s="13"/>
      <c r="D413" s="13"/>
      <c r="E413" s="13"/>
      <c r="F413" s="13"/>
    </row>
    <row r="414">
      <c r="A414" s="13"/>
      <c r="B414" s="13"/>
      <c r="C414" s="13"/>
      <c r="D414" s="13"/>
      <c r="E414" s="13"/>
      <c r="F414" s="13"/>
    </row>
    <row r="415">
      <c r="A415" s="13"/>
      <c r="B415" s="13"/>
      <c r="C415" s="13"/>
      <c r="D415" s="13"/>
      <c r="E415" s="13"/>
      <c r="F415" s="13"/>
    </row>
    <row r="416">
      <c r="A416" s="13"/>
      <c r="B416" s="13"/>
      <c r="C416" s="13"/>
      <c r="D416" s="13"/>
      <c r="E416" s="13"/>
      <c r="F416" s="13"/>
    </row>
    <row r="417">
      <c r="A417" s="13"/>
      <c r="B417" s="13"/>
      <c r="C417" s="13"/>
      <c r="D417" s="13"/>
      <c r="E417" s="13"/>
      <c r="F417" s="13"/>
    </row>
    <row r="418">
      <c r="A418" s="13"/>
      <c r="B418" s="13"/>
      <c r="C418" s="13"/>
      <c r="D418" s="13"/>
      <c r="E418" s="13"/>
      <c r="F418" s="13"/>
    </row>
    <row r="419">
      <c r="A419" s="13"/>
      <c r="B419" s="13"/>
      <c r="C419" s="13"/>
      <c r="D419" s="13"/>
      <c r="E419" s="13"/>
      <c r="F419" s="13"/>
    </row>
    <row r="420">
      <c r="A420" s="13"/>
      <c r="B420" s="13"/>
      <c r="C420" s="13"/>
      <c r="D420" s="13"/>
      <c r="E420" s="13"/>
      <c r="F420" s="13"/>
    </row>
    <row r="421">
      <c r="A421" s="13"/>
      <c r="B421" s="13"/>
      <c r="C421" s="13"/>
      <c r="D421" s="13"/>
      <c r="E421" s="13"/>
      <c r="F421" s="13"/>
    </row>
    <row r="422">
      <c r="A422" s="13"/>
      <c r="B422" s="13"/>
      <c r="C422" s="13"/>
      <c r="D422" s="13"/>
      <c r="E422" s="13"/>
      <c r="F422" s="13"/>
    </row>
    <row r="423">
      <c r="A423" s="13"/>
      <c r="B423" s="13"/>
      <c r="C423" s="13"/>
      <c r="D423" s="13"/>
      <c r="E423" s="13"/>
      <c r="F423" s="13"/>
    </row>
    <row r="424">
      <c r="A424" s="13"/>
      <c r="B424" s="13"/>
      <c r="C424" s="13"/>
      <c r="D424" s="13"/>
      <c r="E424" s="13"/>
      <c r="F424" s="13"/>
    </row>
    <row r="425">
      <c r="A425" s="13"/>
      <c r="B425" s="13"/>
      <c r="C425" s="13"/>
      <c r="D425" s="13"/>
      <c r="E425" s="13"/>
      <c r="F425" s="13"/>
    </row>
    <row r="426">
      <c r="A426" s="13"/>
      <c r="B426" s="13"/>
      <c r="C426" s="13"/>
      <c r="D426" s="13"/>
      <c r="E426" s="13"/>
      <c r="F426" s="13"/>
    </row>
    <row r="427">
      <c r="A427" s="13"/>
      <c r="B427" s="13"/>
      <c r="C427" s="13"/>
      <c r="D427" s="13"/>
      <c r="E427" s="13"/>
      <c r="F427" s="13"/>
    </row>
    <row r="428">
      <c r="A428" s="13"/>
      <c r="B428" s="13"/>
      <c r="C428" s="13"/>
      <c r="D428" s="13"/>
      <c r="E428" s="13"/>
      <c r="F428" s="13"/>
    </row>
    <row r="429">
      <c r="A429" s="13"/>
      <c r="B429" s="13"/>
      <c r="C429" s="13"/>
      <c r="D429" s="13"/>
      <c r="E429" s="13"/>
      <c r="F429" s="13"/>
    </row>
    <row r="430">
      <c r="A430" s="13"/>
      <c r="B430" s="13"/>
      <c r="C430" s="13"/>
      <c r="D430" s="13"/>
      <c r="E430" s="13"/>
      <c r="F430" s="13"/>
    </row>
    <row r="431">
      <c r="A431" s="13"/>
      <c r="B431" s="13"/>
      <c r="C431" s="13"/>
      <c r="D431" s="13"/>
      <c r="E431" s="13"/>
      <c r="F431" s="13"/>
    </row>
    <row r="432">
      <c r="A432" s="13"/>
      <c r="B432" s="13"/>
      <c r="C432" s="13"/>
      <c r="D432" s="13"/>
      <c r="E432" s="13"/>
      <c r="F432" s="13"/>
    </row>
    <row r="433">
      <c r="A433" s="13"/>
      <c r="B433" s="13"/>
      <c r="C433" s="13"/>
      <c r="D433" s="13"/>
      <c r="E433" s="13"/>
      <c r="F433" s="13"/>
    </row>
    <row r="434">
      <c r="A434" s="13"/>
      <c r="B434" s="13"/>
      <c r="C434" s="13"/>
      <c r="D434" s="13"/>
      <c r="E434" s="13"/>
      <c r="F434" s="13"/>
    </row>
    <row r="435">
      <c r="A435" s="13"/>
      <c r="B435" s="13"/>
      <c r="C435" s="13"/>
      <c r="D435" s="13"/>
      <c r="E435" s="13"/>
      <c r="F435" s="13"/>
    </row>
    <row r="436">
      <c r="A436" s="13"/>
      <c r="B436" s="13"/>
      <c r="C436" s="13"/>
      <c r="D436" s="13"/>
      <c r="E436" s="13"/>
      <c r="F436" s="13"/>
    </row>
    <row r="437">
      <c r="A437" s="13"/>
      <c r="B437" s="13"/>
      <c r="C437" s="13"/>
      <c r="D437" s="13"/>
      <c r="E437" s="13"/>
      <c r="F437" s="13"/>
    </row>
    <row r="438">
      <c r="A438" s="13"/>
      <c r="B438" s="13"/>
      <c r="C438" s="13"/>
      <c r="D438" s="13"/>
      <c r="E438" s="13"/>
      <c r="F438" s="13"/>
    </row>
    <row r="439">
      <c r="A439" s="13"/>
      <c r="B439" s="13"/>
      <c r="C439" s="13"/>
      <c r="D439" s="13"/>
      <c r="E439" s="13"/>
      <c r="F439" s="13"/>
    </row>
    <row r="440">
      <c r="A440" s="13"/>
      <c r="B440" s="13"/>
      <c r="C440" s="13"/>
      <c r="D440" s="13"/>
      <c r="E440" s="13"/>
      <c r="F440" s="13"/>
    </row>
    <row r="441">
      <c r="A441" s="13"/>
      <c r="B441" s="13"/>
      <c r="C441" s="13"/>
      <c r="D441" s="13"/>
      <c r="E441" s="13"/>
      <c r="F441" s="13"/>
    </row>
    <row r="442">
      <c r="A442" s="13"/>
      <c r="B442" s="13"/>
      <c r="C442" s="13"/>
      <c r="D442" s="13"/>
      <c r="E442" s="13"/>
      <c r="F442" s="13"/>
    </row>
    <row r="443">
      <c r="A443" s="13"/>
      <c r="B443" s="13"/>
      <c r="C443" s="13"/>
      <c r="D443" s="13"/>
      <c r="E443" s="13"/>
      <c r="F443" s="13"/>
    </row>
    <row r="444">
      <c r="A444" s="13"/>
      <c r="B444" s="13"/>
      <c r="C444" s="13"/>
      <c r="D444" s="13"/>
      <c r="E444" s="13"/>
      <c r="F444" s="13"/>
    </row>
    <row r="445">
      <c r="A445" s="13"/>
      <c r="B445" s="13"/>
      <c r="C445" s="13"/>
      <c r="D445" s="13"/>
      <c r="E445" s="13"/>
      <c r="F445" s="13"/>
    </row>
    <row r="446">
      <c r="A446" s="13"/>
      <c r="B446" s="13"/>
      <c r="C446" s="13"/>
      <c r="D446" s="13"/>
      <c r="E446" s="13"/>
      <c r="F446" s="13"/>
    </row>
    <row r="447">
      <c r="A447" s="13"/>
      <c r="B447" s="13"/>
      <c r="C447" s="13"/>
      <c r="D447" s="13"/>
      <c r="E447" s="13"/>
      <c r="F447" s="13"/>
    </row>
    <row r="448">
      <c r="A448" s="13"/>
      <c r="B448" s="13"/>
      <c r="C448" s="13"/>
      <c r="D448" s="13"/>
      <c r="E448" s="13"/>
      <c r="F448" s="13"/>
    </row>
    <row r="449">
      <c r="A449" s="13"/>
      <c r="B449" s="13"/>
      <c r="C449" s="13"/>
      <c r="D449" s="13"/>
      <c r="E449" s="13"/>
      <c r="F449" s="13"/>
    </row>
    <row r="450">
      <c r="A450" s="13"/>
      <c r="B450" s="13"/>
      <c r="C450" s="13"/>
      <c r="D450" s="13"/>
      <c r="E450" s="13"/>
      <c r="F450" s="13"/>
    </row>
    <row r="451">
      <c r="A451" s="13"/>
      <c r="B451" s="13"/>
      <c r="C451" s="13"/>
      <c r="D451" s="13"/>
      <c r="E451" s="13"/>
      <c r="F451" s="13"/>
    </row>
    <row r="452">
      <c r="A452" s="13"/>
      <c r="B452" s="13"/>
      <c r="C452" s="13"/>
      <c r="D452" s="13"/>
      <c r="E452" s="13"/>
      <c r="F452" s="13"/>
    </row>
    <row r="453">
      <c r="A453" s="13"/>
      <c r="B453" s="13"/>
      <c r="C453" s="13"/>
      <c r="D453" s="13"/>
      <c r="E453" s="13"/>
      <c r="F453" s="13"/>
    </row>
    <row r="454">
      <c r="A454" s="13"/>
      <c r="B454" s="13"/>
      <c r="C454" s="13"/>
      <c r="D454" s="13"/>
      <c r="E454" s="13"/>
      <c r="F454" s="13"/>
    </row>
    <row r="455">
      <c r="A455" s="13"/>
      <c r="B455" s="13"/>
      <c r="C455" s="13"/>
      <c r="D455" s="13"/>
      <c r="E455" s="13"/>
      <c r="F455" s="13"/>
    </row>
    <row r="456">
      <c r="A456" s="13"/>
      <c r="B456" s="13"/>
      <c r="C456" s="13"/>
      <c r="D456" s="13"/>
      <c r="E456" s="13"/>
      <c r="F456" s="13"/>
    </row>
    <row r="457">
      <c r="A457" s="13"/>
      <c r="B457" s="13"/>
      <c r="C457" s="13"/>
      <c r="D457" s="13"/>
      <c r="E457" s="13"/>
      <c r="F457" s="13"/>
    </row>
    <row r="458">
      <c r="A458" s="13"/>
      <c r="B458" s="13"/>
      <c r="C458" s="13"/>
      <c r="D458" s="13"/>
      <c r="E458" s="13"/>
      <c r="F458" s="13"/>
    </row>
    <row r="459">
      <c r="A459" s="13"/>
      <c r="B459" s="13"/>
      <c r="C459" s="13"/>
      <c r="D459" s="13"/>
      <c r="E459" s="13"/>
      <c r="F459" s="13"/>
    </row>
    <row r="460">
      <c r="A460" s="13"/>
      <c r="B460" s="13"/>
      <c r="C460" s="13"/>
      <c r="D460" s="13"/>
      <c r="E460" s="13"/>
      <c r="F460" s="13"/>
    </row>
    <row r="461">
      <c r="A461" s="13"/>
      <c r="B461" s="13"/>
      <c r="C461" s="13"/>
      <c r="D461" s="13"/>
      <c r="E461" s="13"/>
      <c r="F461" s="13"/>
    </row>
    <row r="462">
      <c r="A462" s="13"/>
      <c r="B462" s="13"/>
      <c r="C462" s="13"/>
      <c r="D462" s="13"/>
      <c r="E462" s="13"/>
      <c r="F462" s="13"/>
    </row>
    <row r="463">
      <c r="A463" s="13"/>
      <c r="B463" s="13"/>
      <c r="C463" s="13"/>
      <c r="D463" s="13"/>
      <c r="E463" s="13"/>
      <c r="F463" s="13"/>
    </row>
    <row r="464">
      <c r="A464" s="13"/>
      <c r="B464" s="13"/>
      <c r="C464" s="13"/>
      <c r="D464" s="13"/>
      <c r="E464" s="13"/>
      <c r="F464" s="13"/>
    </row>
    <row r="465">
      <c r="A465" s="13"/>
      <c r="B465" s="13"/>
      <c r="C465" s="13"/>
      <c r="D465" s="13"/>
      <c r="E465" s="13"/>
      <c r="F465" s="13"/>
    </row>
    <row r="466">
      <c r="A466" s="13"/>
      <c r="B466" s="13"/>
      <c r="C466" s="13"/>
      <c r="D466" s="13"/>
      <c r="E466" s="13"/>
      <c r="F466" s="13"/>
    </row>
    <row r="467">
      <c r="A467" s="13"/>
      <c r="B467" s="13"/>
      <c r="C467" s="13"/>
      <c r="D467" s="13"/>
      <c r="E467" s="13"/>
      <c r="F467" s="13"/>
    </row>
    <row r="468">
      <c r="A468" s="13"/>
      <c r="B468" s="13"/>
      <c r="C468" s="13"/>
      <c r="D468" s="13"/>
      <c r="E468" s="13"/>
      <c r="F468" s="13"/>
    </row>
    <row r="469">
      <c r="A469" s="13"/>
      <c r="B469" s="13"/>
      <c r="C469" s="13"/>
      <c r="D469" s="13"/>
      <c r="E469" s="13"/>
      <c r="F469" s="13"/>
    </row>
    <row r="470">
      <c r="A470" s="13"/>
      <c r="B470" s="13"/>
      <c r="C470" s="13"/>
      <c r="D470" s="13"/>
      <c r="E470" s="13"/>
      <c r="F470" s="13"/>
    </row>
    <row r="471">
      <c r="A471" s="13"/>
      <c r="B471" s="13"/>
      <c r="C471" s="13"/>
      <c r="D471" s="13"/>
      <c r="E471" s="13"/>
      <c r="F471" s="13"/>
    </row>
    <row r="472">
      <c r="A472" s="13"/>
      <c r="B472" s="13"/>
      <c r="C472" s="13"/>
      <c r="D472" s="13"/>
      <c r="E472" s="13"/>
      <c r="F472" s="13"/>
    </row>
    <row r="473">
      <c r="A473" s="13"/>
      <c r="B473" s="13"/>
      <c r="C473" s="13"/>
      <c r="D473" s="13"/>
      <c r="E473" s="13"/>
      <c r="F473" s="13"/>
    </row>
    <row r="474">
      <c r="A474" s="13"/>
      <c r="B474" s="13"/>
      <c r="C474" s="13"/>
      <c r="D474" s="13"/>
      <c r="E474" s="13"/>
      <c r="F474" s="13"/>
    </row>
    <row r="475">
      <c r="A475" s="13"/>
      <c r="B475" s="13"/>
      <c r="C475" s="13"/>
      <c r="D475" s="13"/>
      <c r="E475" s="13"/>
      <c r="F475" s="13"/>
    </row>
    <row r="476">
      <c r="A476" s="13"/>
      <c r="B476" s="13"/>
      <c r="C476" s="13"/>
      <c r="D476" s="13"/>
      <c r="E476" s="13"/>
      <c r="F476" s="13"/>
    </row>
    <row r="477">
      <c r="A477" s="13"/>
      <c r="B477" s="13"/>
      <c r="C477" s="13"/>
      <c r="D477" s="13"/>
      <c r="E477" s="13"/>
      <c r="F477" s="13"/>
    </row>
    <row r="478">
      <c r="A478" s="13"/>
      <c r="B478" s="13"/>
      <c r="C478" s="13"/>
      <c r="D478" s="13"/>
      <c r="E478" s="13"/>
      <c r="F478" s="13"/>
    </row>
    <row r="479">
      <c r="A479" s="13"/>
      <c r="B479" s="13"/>
      <c r="C479" s="13"/>
      <c r="D479" s="13"/>
      <c r="E479" s="13"/>
      <c r="F479" s="13"/>
    </row>
    <row r="480">
      <c r="A480" s="13"/>
      <c r="B480" s="13"/>
      <c r="C480" s="13"/>
      <c r="D480" s="13"/>
      <c r="E480" s="13"/>
      <c r="F480" s="13"/>
    </row>
    <row r="481">
      <c r="A481" s="13"/>
      <c r="B481" s="13"/>
      <c r="C481" s="13"/>
      <c r="D481" s="13"/>
      <c r="E481" s="13"/>
      <c r="F481" s="13"/>
    </row>
    <row r="482">
      <c r="A482" s="13"/>
      <c r="B482" s="13"/>
      <c r="C482" s="13"/>
      <c r="D482" s="13"/>
      <c r="E482" s="13"/>
      <c r="F482" s="13"/>
    </row>
    <row r="483">
      <c r="A483" s="13"/>
      <c r="B483" s="13"/>
      <c r="C483" s="13"/>
      <c r="D483" s="13"/>
      <c r="E483" s="13"/>
      <c r="F483" s="13"/>
    </row>
    <row r="484">
      <c r="A484" s="13"/>
      <c r="B484" s="13"/>
      <c r="C484" s="13"/>
      <c r="D484" s="13"/>
      <c r="E484" s="13"/>
      <c r="F484" s="13"/>
    </row>
    <row r="485">
      <c r="A485" s="13"/>
      <c r="B485" s="13"/>
      <c r="C485" s="13"/>
      <c r="D485" s="13"/>
      <c r="E485" s="13"/>
      <c r="F485" s="13"/>
    </row>
    <row r="486">
      <c r="A486" s="13"/>
      <c r="B486" s="13"/>
      <c r="C486" s="13"/>
      <c r="D486" s="13"/>
      <c r="E486" s="13"/>
      <c r="F486" s="13"/>
    </row>
    <row r="487">
      <c r="A487" s="13"/>
      <c r="B487" s="13"/>
      <c r="C487" s="13"/>
      <c r="D487" s="13"/>
      <c r="E487" s="13"/>
      <c r="F487" s="13"/>
    </row>
    <row r="488">
      <c r="A488" s="13"/>
      <c r="B488" s="13"/>
      <c r="C488" s="13"/>
      <c r="D488" s="13"/>
      <c r="E488" s="13"/>
      <c r="F488" s="13"/>
    </row>
    <row r="489">
      <c r="A489" s="13"/>
      <c r="B489" s="13"/>
      <c r="C489" s="13"/>
      <c r="D489" s="13"/>
      <c r="E489" s="13"/>
      <c r="F489" s="13"/>
    </row>
    <row r="490">
      <c r="A490" s="13"/>
      <c r="B490" s="13"/>
      <c r="C490" s="13"/>
      <c r="D490" s="13"/>
      <c r="E490" s="13"/>
      <c r="F490" s="13"/>
    </row>
    <row r="491">
      <c r="A491" s="13"/>
      <c r="B491" s="13"/>
      <c r="C491" s="13"/>
      <c r="D491" s="13"/>
      <c r="E491" s="13"/>
      <c r="F491" s="13"/>
    </row>
    <row r="492">
      <c r="A492" s="13"/>
      <c r="B492" s="13"/>
      <c r="C492" s="13"/>
      <c r="D492" s="13"/>
      <c r="E492" s="13"/>
      <c r="F492" s="13"/>
    </row>
    <row r="493">
      <c r="A493" s="13"/>
      <c r="B493" s="13"/>
      <c r="C493" s="13"/>
      <c r="D493" s="13"/>
      <c r="E493" s="13"/>
      <c r="F493" s="13"/>
    </row>
    <row r="494">
      <c r="A494" s="13"/>
      <c r="B494" s="13"/>
      <c r="C494" s="13"/>
      <c r="D494" s="13"/>
      <c r="E494" s="13"/>
      <c r="F494" s="13"/>
    </row>
    <row r="495">
      <c r="A495" s="13"/>
      <c r="B495" s="13"/>
      <c r="C495" s="13"/>
      <c r="D495" s="13"/>
      <c r="E495" s="13"/>
      <c r="F495" s="13"/>
    </row>
    <row r="496">
      <c r="A496" s="13"/>
      <c r="B496" s="13"/>
      <c r="C496" s="13"/>
      <c r="D496" s="13"/>
      <c r="E496" s="13"/>
      <c r="F496" s="13"/>
    </row>
    <row r="497">
      <c r="A497" s="13"/>
      <c r="B497" s="13"/>
      <c r="C497" s="13"/>
      <c r="D497" s="13"/>
      <c r="E497" s="13"/>
      <c r="F497" s="13"/>
    </row>
    <row r="498">
      <c r="A498" s="13"/>
      <c r="B498" s="13"/>
      <c r="C498" s="13"/>
      <c r="D498" s="13"/>
      <c r="E498" s="13"/>
      <c r="F498" s="13"/>
    </row>
    <row r="499">
      <c r="A499" s="13"/>
      <c r="B499" s="13"/>
      <c r="C499" s="13"/>
      <c r="D499" s="13"/>
      <c r="E499" s="13"/>
      <c r="F499" s="13"/>
    </row>
    <row r="500">
      <c r="A500" s="13"/>
      <c r="B500" s="13"/>
      <c r="C500" s="13"/>
      <c r="D500" s="13"/>
      <c r="E500" s="13"/>
      <c r="F500" s="13"/>
    </row>
    <row r="501">
      <c r="A501" s="13"/>
      <c r="B501" s="13"/>
      <c r="C501" s="13"/>
      <c r="D501" s="13"/>
      <c r="E501" s="13"/>
      <c r="F501" s="13"/>
    </row>
    <row r="502">
      <c r="A502" s="13"/>
      <c r="B502" s="13"/>
      <c r="C502" s="13"/>
      <c r="D502" s="13"/>
      <c r="E502" s="13"/>
      <c r="F502" s="13"/>
    </row>
    <row r="503">
      <c r="A503" s="13"/>
      <c r="B503" s="13"/>
      <c r="C503" s="13"/>
      <c r="D503" s="13"/>
      <c r="E503" s="13"/>
      <c r="F503" s="13"/>
    </row>
    <row r="504">
      <c r="A504" s="13"/>
      <c r="B504" s="13"/>
      <c r="C504" s="13"/>
      <c r="D504" s="13"/>
      <c r="E504" s="13"/>
      <c r="F504" s="13"/>
    </row>
    <row r="505">
      <c r="A505" s="13"/>
      <c r="B505" s="13"/>
      <c r="C505" s="13"/>
      <c r="D505" s="13"/>
      <c r="E505" s="13"/>
      <c r="F505" s="13"/>
    </row>
    <row r="506">
      <c r="A506" s="13"/>
      <c r="B506" s="13"/>
      <c r="C506" s="13"/>
      <c r="D506" s="13"/>
      <c r="E506" s="13"/>
      <c r="F506" s="13"/>
    </row>
    <row r="507">
      <c r="A507" s="13"/>
      <c r="B507" s="13"/>
      <c r="C507" s="13"/>
      <c r="D507" s="13"/>
      <c r="E507" s="13"/>
      <c r="F507" s="13"/>
    </row>
    <row r="508">
      <c r="A508" s="13"/>
      <c r="B508" s="13"/>
      <c r="C508" s="13"/>
      <c r="D508" s="13"/>
      <c r="E508" s="13"/>
      <c r="F508" s="13"/>
    </row>
    <row r="509">
      <c r="A509" s="13"/>
      <c r="B509" s="13"/>
      <c r="C509" s="13"/>
      <c r="D509" s="13"/>
      <c r="E509" s="13"/>
      <c r="F509" s="13"/>
    </row>
    <row r="510">
      <c r="A510" s="13"/>
      <c r="B510" s="13"/>
      <c r="C510" s="13"/>
      <c r="D510" s="13"/>
      <c r="E510" s="13"/>
      <c r="F510" s="13"/>
    </row>
    <row r="511">
      <c r="A511" s="13"/>
      <c r="B511" s="13"/>
      <c r="C511" s="13"/>
      <c r="D511" s="13"/>
      <c r="E511" s="13"/>
      <c r="F511" s="13"/>
    </row>
    <row r="512">
      <c r="A512" s="13"/>
      <c r="B512" s="13"/>
      <c r="C512" s="13"/>
      <c r="D512" s="13"/>
      <c r="E512" s="13"/>
      <c r="F512" s="13"/>
    </row>
    <row r="513">
      <c r="A513" s="13"/>
      <c r="B513" s="13"/>
      <c r="C513" s="13"/>
      <c r="D513" s="13"/>
      <c r="E513" s="13"/>
      <c r="F513" s="13"/>
    </row>
    <row r="514">
      <c r="A514" s="13"/>
      <c r="B514" s="13"/>
      <c r="C514" s="13"/>
      <c r="D514" s="13"/>
      <c r="E514" s="13"/>
      <c r="F514" s="13"/>
    </row>
    <row r="515">
      <c r="A515" s="13"/>
      <c r="B515" s="13"/>
      <c r="C515" s="13"/>
      <c r="D515" s="13"/>
      <c r="E515" s="13"/>
      <c r="F515" s="13"/>
    </row>
    <row r="516">
      <c r="A516" s="13"/>
      <c r="B516" s="13"/>
      <c r="C516" s="13"/>
      <c r="D516" s="13"/>
      <c r="E516" s="13"/>
      <c r="F516" s="13"/>
    </row>
    <row r="517">
      <c r="A517" s="13"/>
      <c r="B517" s="13"/>
      <c r="C517" s="13"/>
      <c r="D517" s="13"/>
      <c r="E517" s="13"/>
      <c r="F517" s="13"/>
    </row>
    <row r="518">
      <c r="A518" s="13"/>
      <c r="B518" s="13"/>
      <c r="C518" s="13"/>
      <c r="D518" s="13"/>
      <c r="E518" s="13"/>
      <c r="F518" s="13"/>
    </row>
    <row r="519">
      <c r="A519" s="13"/>
      <c r="B519" s="13"/>
      <c r="C519" s="13"/>
      <c r="D519" s="13"/>
      <c r="E519" s="13"/>
      <c r="F519" s="13"/>
    </row>
    <row r="520">
      <c r="A520" s="13"/>
      <c r="B520" s="13"/>
      <c r="C520" s="13"/>
      <c r="D520" s="13"/>
      <c r="E520" s="13"/>
      <c r="F520" s="13"/>
    </row>
    <row r="521">
      <c r="A521" s="13"/>
      <c r="B521" s="13"/>
      <c r="C521" s="13"/>
      <c r="D521" s="13"/>
      <c r="E521" s="13"/>
      <c r="F521" s="13"/>
    </row>
    <row r="522">
      <c r="A522" s="13"/>
      <c r="B522" s="13"/>
      <c r="C522" s="13"/>
      <c r="D522" s="13"/>
      <c r="E522" s="13"/>
      <c r="F522" s="13"/>
    </row>
    <row r="523">
      <c r="A523" s="13"/>
      <c r="B523" s="13"/>
      <c r="C523" s="13"/>
      <c r="D523" s="13"/>
      <c r="E523" s="13"/>
      <c r="F523" s="13"/>
    </row>
    <row r="524">
      <c r="A524" s="13"/>
      <c r="B524" s="13"/>
      <c r="C524" s="13"/>
      <c r="D524" s="13"/>
      <c r="E524" s="13"/>
      <c r="F524" s="13"/>
    </row>
    <row r="525">
      <c r="A525" s="13"/>
      <c r="B525" s="13"/>
      <c r="C525" s="13"/>
      <c r="D525" s="13"/>
      <c r="E525" s="13"/>
      <c r="F525" s="13"/>
    </row>
    <row r="526">
      <c r="A526" s="13"/>
      <c r="B526" s="13"/>
      <c r="C526" s="13"/>
      <c r="D526" s="13"/>
      <c r="E526" s="13"/>
      <c r="F526" s="13"/>
    </row>
    <row r="527">
      <c r="A527" s="13"/>
      <c r="B527" s="13"/>
      <c r="C527" s="13"/>
      <c r="D527" s="13"/>
      <c r="E527" s="13"/>
      <c r="F527" s="13"/>
    </row>
    <row r="528">
      <c r="A528" s="13"/>
      <c r="B528" s="13"/>
      <c r="C528" s="13"/>
      <c r="D528" s="13"/>
      <c r="E528" s="13"/>
      <c r="F528" s="13"/>
    </row>
    <row r="529">
      <c r="A529" s="13"/>
      <c r="B529" s="13"/>
      <c r="C529" s="13"/>
      <c r="D529" s="13"/>
      <c r="E529" s="13"/>
      <c r="F529" s="13"/>
    </row>
    <row r="530">
      <c r="A530" s="13"/>
      <c r="B530" s="13"/>
      <c r="C530" s="13"/>
      <c r="D530" s="13"/>
      <c r="E530" s="13"/>
      <c r="F530" s="13"/>
    </row>
    <row r="531">
      <c r="A531" s="13"/>
      <c r="B531" s="13"/>
      <c r="C531" s="13"/>
      <c r="D531" s="13"/>
      <c r="E531" s="13"/>
      <c r="F531" s="13"/>
    </row>
    <row r="532">
      <c r="A532" s="13"/>
      <c r="B532" s="13"/>
      <c r="C532" s="13"/>
      <c r="D532" s="13"/>
      <c r="E532" s="13"/>
      <c r="F532" s="13"/>
    </row>
    <row r="533">
      <c r="A533" s="13"/>
      <c r="B533" s="13"/>
      <c r="C533" s="13"/>
      <c r="D533" s="13"/>
      <c r="E533" s="13"/>
      <c r="F533" s="13"/>
    </row>
    <row r="534">
      <c r="A534" s="13"/>
      <c r="B534" s="13"/>
      <c r="C534" s="13"/>
      <c r="D534" s="13"/>
      <c r="E534" s="13"/>
      <c r="F534" s="13"/>
    </row>
    <row r="535">
      <c r="A535" s="13"/>
      <c r="B535" s="13"/>
      <c r="C535" s="13"/>
      <c r="D535" s="13"/>
      <c r="E535" s="13"/>
      <c r="F535" s="13"/>
    </row>
    <row r="536">
      <c r="A536" s="13"/>
      <c r="B536" s="13"/>
      <c r="C536" s="13"/>
      <c r="D536" s="13"/>
      <c r="E536" s="13"/>
      <c r="F536" s="13"/>
    </row>
    <row r="537">
      <c r="A537" s="13"/>
      <c r="B537" s="13"/>
      <c r="C537" s="13"/>
      <c r="D537" s="13"/>
      <c r="E537" s="13"/>
      <c r="F537" s="13"/>
    </row>
    <row r="538">
      <c r="A538" s="13"/>
      <c r="B538" s="13"/>
      <c r="C538" s="13"/>
      <c r="D538" s="13"/>
      <c r="E538" s="13"/>
      <c r="F538" s="13"/>
    </row>
    <row r="539">
      <c r="A539" s="13"/>
      <c r="B539" s="13"/>
      <c r="C539" s="13"/>
      <c r="D539" s="13"/>
      <c r="E539" s="13"/>
      <c r="F539" s="13"/>
    </row>
    <row r="540">
      <c r="A540" s="13"/>
      <c r="B540" s="13"/>
      <c r="C540" s="13"/>
      <c r="D540" s="13"/>
      <c r="E540" s="13"/>
      <c r="F540" s="13"/>
    </row>
    <row r="541">
      <c r="A541" s="13"/>
      <c r="B541" s="13"/>
      <c r="C541" s="13"/>
      <c r="D541" s="13"/>
      <c r="E541" s="13"/>
      <c r="F541" s="13"/>
    </row>
    <row r="542">
      <c r="A542" s="13"/>
      <c r="B542" s="13"/>
      <c r="C542" s="13"/>
      <c r="D542" s="13"/>
      <c r="E542" s="13"/>
      <c r="F542" s="13"/>
    </row>
    <row r="543">
      <c r="A543" s="13"/>
      <c r="B543" s="13"/>
      <c r="C543" s="13"/>
      <c r="D543" s="13"/>
      <c r="E543" s="13"/>
      <c r="F543" s="13"/>
    </row>
    <row r="544">
      <c r="A544" s="13"/>
      <c r="B544" s="13"/>
      <c r="C544" s="13"/>
      <c r="D544" s="13"/>
      <c r="E544" s="13"/>
      <c r="F544" s="13"/>
    </row>
    <row r="545">
      <c r="A545" s="13"/>
      <c r="B545" s="13"/>
      <c r="C545" s="13"/>
      <c r="D545" s="13"/>
      <c r="E545" s="13"/>
      <c r="F545" s="13"/>
    </row>
    <row r="546">
      <c r="A546" s="13"/>
      <c r="B546" s="13"/>
      <c r="C546" s="13"/>
      <c r="D546" s="13"/>
      <c r="E546" s="13"/>
      <c r="F546" s="13"/>
    </row>
    <row r="547">
      <c r="A547" s="13"/>
      <c r="B547" s="13"/>
      <c r="C547" s="13"/>
      <c r="D547" s="13"/>
      <c r="E547" s="13"/>
      <c r="F547" s="13"/>
    </row>
    <row r="548">
      <c r="A548" s="13"/>
      <c r="B548" s="13"/>
      <c r="C548" s="13"/>
      <c r="D548" s="13"/>
      <c r="E548" s="13"/>
      <c r="F548" s="13"/>
    </row>
    <row r="549">
      <c r="A549" s="13"/>
      <c r="B549" s="13"/>
      <c r="C549" s="13"/>
      <c r="D549" s="13"/>
      <c r="E549" s="13"/>
      <c r="F549" s="13"/>
    </row>
    <row r="550">
      <c r="A550" s="13"/>
      <c r="B550" s="13"/>
      <c r="C550" s="13"/>
      <c r="D550" s="13"/>
      <c r="E550" s="13"/>
      <c r="F550" s="13"/>
    </row>
    <row r="551">
      <c r="A551" s="13"/>
      <c r="B551" s="13"/>
      <c r="C551" s="13"/>
      <c r="D551" s="13"/>
      <c r="E551" s="13"/>
      <c r="F551" s="13"/>
    </row>
    <row r="552">
      <c r="A552" s="13"/>
      <c r="B552" s="13"/>
      <c r="C552" s="13"/>
      <c r="D552" s="13"/>
      <c r="E552" s="13"/>
      <c r="F552" s="13"/>
    </row>
    <row r="553">
      <c r="A553" s="13"/>
      <c r="B553" s="13"/>
      <c r="C553" s="13"/>
      <c r="D553" s="13"/>
      <c r="E553" s="13"/>
      <c r="F553" s="13"/>
    </row>
    <row r="554">
      <c r="A554" s="13"/>
      <c r="B554" s="13"/>
      <c r="C554" s="13"/>
      <c r="D554" s="13"/>
      <c r="E554" s="13"/>
      <c r="F554" s="13"/>
    </row>
    <row r="555">
      <c r="A555" s="13"/>
      <c r="B555" s="13"/>
      <c r="C555" s="13"/>
      <c r="D555" s="13"/>
      <c r="E555" s="13"/>
      <c r="F555" s="13"/>
    </row>
    <row r="556">
      <c r="A556" s="13"/>
      <c r="B556" s="13"/>
      <c r="C556" s="13"/>
      <c r="D556" s="13"/>
      <c r="E556" s="13"/>
      <c r="F556" s="13"/>
    </row>
    <row r="557">
      <c r="A557" s="13"/>
      <c r="B557" s="13"/>
      <c r="C557" s="13"/>
      <c r="D557" s="13"/>
      <c r="E557" s="13"/>
      <c r="F557" s="13"/>
    </row>
    <row r="558">
      <c r="A558" s="13"/>
      <c r="B558" s="13"/>
      <c r="C558" s="13"/>
      <c r="D558" s="13"/>
      <c r="E558" s="13"/>
      <c r="F558" s="13"/>
    </row>
    <row r="559">
      <c r="A559" s="13"/>
      <c r="B559" s="13"/>
      <c r="C559" s="13"/>
      <c r="D559" s="13"/>
      <c r="E559" s="13"/>
      <c r="F559" s="13"/>
    </row>
    <row r="560">
      <c r="A560" s="13"/>
      <c r="B560" s="13"/>
      <c r="C560" s="13"/>
      <c r="D560" s="13"/>
      <c r="E560" s="13"/>
      <c r="F560" s="13"/>
    </row>
    <row r="561">
      <c r="A561" s="13"/>
      <c r="B561" s="13"/>
      <c r="C561" s="13"/>
      <c r="D561" s="13"/>
      <c r="E561" s="13"/>
      <c r="F561" s="13"/>
    </row>
    <row r="562">
      <c r="A562" s="13"/>
      <c r="B562" s="13"/>
      <c r="C562" s="13"/>
      <c r="D562" s="13"/>
      <c r="E562" s="13"/>
      <c r="F562" s="13"/>
    </row>
    <row r="563">
      <c r="A563" s="13"/>
      <c r="B563" s="13"/>
      <c r="C563" s="13"/>
      <c r="D563" s="13"/>
      <c r="E563" s="13"/>
      <c r="F563" s="13"/>
    </row>
    <row r="564">
      <c r="A564" s="13"/>
      <c r="B564" s="13"/>
      <c r="C564" s="13"/>
      <c r="D564" s="13"/>
      <c r="E564" s="13"/>
      <c r="F564" s="13"/>
    </row>
    <row r="565">
      <c r="A565" s="13"/>
      <c r="B565" s="13"/>
      <c r="C565" s="13"/>
      <c r="D565" s="13"/>
      <c r="E565" s="13"/>
      <c r="F565" s="13"/>
    </row>
    <row r="566">
      <c r="A566" s="13"/>
      <c r="B566" s="13"/>
      <c r="C566" s="13"/>
      <c r="D566" s="13"/>
      <c r="E566" s="13"/>
      <c r="F566" s="13"/>
    </row>
    <row r="567">
      <c r="A567" s="13"/>
      <c r="B567" s="13"/>
      <c r="C567" s="13"/>
      <c r="D567" s="13"/>
      <c r="E567" s="13"/>
      <c r="F567" s="13"/>
    </row>
    <row r="568">
      <c r="A568" s="13"/>
      <c r="B568" s="13"/>
      <c r="C568" s="13"/>
      <c r="D568" s="13"/>
      <c r="E568" s="13"/>
      <c r="F568" s="13"/>
    </row>
    <row r="569">
      <c r="A569" s="13"/>
      <c r="B569" s="13"/>
      <c r="C569" s="13"/>
      <c r="D569" s="13"/>
      <c r="E569" s="13"/>
      <c r="F569" s="13"/>
    </row>
    <row r="570">
      <c r="A570" s="13"/>
      <c r="B570" s="13"/>
      <c r="C570" s="13"/>
      <c r="D570" s="13"/>
      <c r="E570" s="13"/>
      <c r="F570" s="13"/>
    </row>
    <row r="571">
      <c r="A571" s="13"/>
      <c r="B571" s="13"/>
      <c r="C571" s="13"/>
      <c r="D571" s="13"/>
      <c r="E571" s="13"/>
      <c r="F571" s="13"/>
    </row>
    <row r="572">
      <c r="A572" s="13"/>
      <c r="B572" s="13"/>
      <c r="C572" s="13"/>
      <c r="D572" s="13"/>
      <c r="E572" s="13"/>
      <c r="F572" s="13"/>
    </row>
    <row r="573">
      <c r="A573" s="13"/>
      <c r="B573" s="13"/>
      <c r="C573" s="13"/>
      <c r="D573" s="13"/>
      <c r="E573" s="13"/>
      <c r="F573" s="13"/>
    </row>
    <row r="574">
      <c r="A574" s="13"/>
      <c r="B574" s="13"/>
      <c r="C574" s="13"/>
      <c r="D574" s="13"/>
      <c r="E574" s="13"/>
      <c r="F574" s="13"/>
    </row>
    <row r="575">
      <c r="A575" s="13"/>
      <c r="B575" s="13"/>
      <c r="C575" s="13"/>
      <c r="D575" s="13"/>
      <c r="E575" s="13"/>
      <c r="F575" s="13"/>
    </row>
    <row r="576">
      <c r="A576" s="13"/>
      <c r="B576" s="13"/>
      <c r="C576" s="13"/>
      <c r="D576" s="13"/>
      <c r="E576" s="13"/>
      <c r="F576" s="13"/>
    </row>
    <row r="577">
      <c r="A577" s="13"/>
      <c r="B577" s="13"/>
      <c r="C577" s="13"/>
      <c r="D577" s="13"/>
      <c r="E577" s="13"/>
      <c r="F577" s="13"/>
    </row>
    <row r="578">
      <c r="A578" s="13"/>
      <c r="B578" s="13"/>
      <c r="C578" s="13"/>
      <c r="D578" s="13"/>
      <c r="E578" s="13"/>
      <c r="F578" s="13"/>
    </row>
    <row r="579">
      <c r="A579" s="13"/>
      <c r="B579" s="13"/>
      <c r="C579" s="13"/>
      <c r="D579" s="13"/>
      <c r="E579" s="13"/>
      <c r="F579" s="13"/>
    </row>
    <row r="580">
      <c r="A580" s="13"/>
      <c r="B580" s="13"/>
      <c r="C580" s="13"/>
      <c r="D580" s="13"/>
      <c r="E580" s="13"/>
      <c r="F580" s="13"/>
    </row>
    <row r="581">
      <c r="A581" s="13"/>
      <c r="B581" s="13"/>
      <c r="C581" s="13"/>
      <c r="D581" s="13"/>
      <c r="E581" s="13"/>
      <c r="F581" s="13"/>
    </row>
    <row r="582">
      <c r="A582" s="13"/>
      <c r="B582" s="13"/>
      <c r="C582" s="13"/>
      <c r="D582" s="13"/>
      <c r="E582" s="13"/>
      <c r="F582" s="13"/>
    </row>
    <row r="583">
      <c r="A583" s="13"/>
      <c r="B583" s="13"/>
      <c r="C583" s="13"/>
      <c r="D583" s="13"/>
      <c r="E583" s="13"/>
      <c r="F583" s="13"/>
    </row>
    <row r="584">
      <c r="A584" s="13"/>
      <c r="B584" s="13"/>
      <c r="C584" s="13"/>
      <c r="D584" s="13"/>
      <c r="E584" s="13"/>
      <c r="F584" s="13"/>
    </row>
    <row r="585">
      <c r="A585" s="13"/>
      <c r="B585" s="13"/>
      <c r="C585" s="13"/>
      <c r="D585" s="13"/>
      <c r="E585" s="13"/>
      <c r="F585" s="13"/>
    </row>
    <row r="586">
      <c r="A586" s="13"/>
      <c r="B586" s="13"/>
      <c r="C586" s="13"/>
      <c r="D586" s="13"/>
      <c r="E586" s="13"/>
      <c r="F586" s="13"/>
    </row>
    <row r="587">
      <c r="A587" s="13"/>
      <c r="B587" s="13"/>
      <c r="C587" s="13"/>
      <c r="D587" s="13"/>
      <c r="E587" s="13"/>
      <c r="F587" s="13"/>
    </row>
    <row r="588">
      <c r="A588" s="13"/>
      <c r="B588" s="13"/>
      <c r="C588" s="13"/>
      <c r="D588" s="13"/>
      <c r="E588" s="13"/>
      <c r="F588" s="13"/>
    </row>
    <row r="589">
      <c r="A589" s="13"/>
      <c r="B589" s="13"/>
      <c r="C589" s="13"/>
      <c r="D589" s="13"/>
      <c r="E589" s="13"/>
      <c r="F589" s="13"/>
    </row>
    <row r="590">
      <c r="A590" s="13"/>
      <c r="B590" s="13"/>
      <c r="C590" s="13"/>
      <c r="D590" s="13"/>
      <c r="E590" s="13"/>
      <c r="F590" s="13"/>
    </row>
    <row r="591">
      <c r="A591" s="13"/>
      <c r="B591" s="13"/>
      <c r="C591" s="13"/>
      <c r="D591" s="13"/>
      <c r="E591" s="13"/>
      <c r="F591" s="13"/>
    </row>
    <row r="592">
      <c r="A592" s="13"/>
      <c r="B592" s="13"/>
      <c r="C592" s="13"/>
      <c r="D592" s="13"/>
      <c r="E592" s="13"/>
      <c r="F592" s="13"/>
    </row>
    <row r="593">
      <c r="A593" s="13"/>
      <c r="B593" s="13"/>
      <c r="C593" s="13"/>
      <c r="D593" s="13"/>
      <c r="E593" s="13"/>
      <c r="F593" s="13"/>
    </row>
    <row r="594">
      <c r="A594" s="13"/>
      <c r="B594" s="13"/>
      <c r="C594" s="13"/>
      <c r="D594" s="13"/>
      <c r="E594" s="13"/>
      <c r="F594" s="13"/>
    </row>
    <row r="595">
      <c r="A595" s="13"/>
      <c r="B595" s="13"/>
      <c r="C595" s="13"/>
      <c r="D595" s="13"/>
      <c r="E595" s="13"/>
      <c r="F595" s="13"/>
    </row>
    <row r="596">
      <c r="A596" s="13"/>
      <c r="B596" s="13"/>
      <c r="C596" s="13"/>
      <c r="D596" s="13"/>
      <c r="E596" s="13"/>
      <c r="F596" s="13"/>
    </row>
    <row r="597">
      <c r="A597" s="13"/>
      <c r="B597" s="13"/>
      <c r="C597" s="13"/>
      <c r="D597" s="13"/>
      <c r="E597" s="13"/>
      <c r="F597" s="13"/>
    </row>
    <row r="598">
      <c r="A598" s="13"/>
      <c r="B598" s="13"/>
      <c r="C598" s="13"/>
      <c r="D598" s="13"/>
      <c r="E598" s="13"/>
      <c r="F598" s="13"/>
    </row>
    <row r="599">
      <c r="A599" s="13"/>
      <c r="B599" s="13"/>
      <c r="C599" s="13"/>
      <c r="D599" s="13"/>
      <c r="E599" s="13"/>
      <c r="F599" s="13"/>
    </row>
    <row r="600">
      <c r="A600" s="13"/>
      <c r="B600" s="13"/>
      <c r="C600" s="13"/>
      <c r="D600" s="13"/>
      <c r="E600" s="13"/>
      <c r="F600" s="13"/>
    </row>
    <row r="601">
      <c r="A601" s="13"/>
      <c r="B601" s="13"/>
      <c r="C601" s="13"/>
      <c r="D601" s="13"/>
      <c r="E601" s="13"/>
      <c r="F601" s="13"/>
    </row>
    <row r="602">
      <c r="A602" s="13"/>
      <c r="B602" s="13"/>
      <c r="C602" s="13"/>
      <c r="D602" s="13"/>
      <c r="E602" s="13"/>
      <c r="F602" s="13"/>
    </row>
    <row r="603">
      <c r="A603" s="13"/>
      <c r="B603" s="13"/>
      <c r="C603" s="13"/>
      <c r="D603" s="13"/>
      <c r="E603" s="13"/>
      <c r="F603" s="13"/>
    </row>
    <row r="604">
      <c r="A604" s="13"/>
      <c r="B604" s="13"/>
      <c r="C604" s="13"/>
      <c r="D604" s="13"/>
      <c r="E604" s="13"/>
      <c r="F604" s="13"/>
    </row>
    <row r="605">
      <c r="A605" s="13"/>
      <c r="B605" s="13"/>
      <c r="C605" s="13"/>
      <c r="D605" s="13"/>
      <c r="E605" s="13"/>
      <c r="F605" s="13"/>
    </row>
    <row r="606">
      <c r="A606" s="13"/>
      <c r="B606" s="13"/>
      <c r="C606" s="13"/>
      <c r="D606" s="13"/>
      <c r="E606" s="13"/>
      <c r="F606" s="13"/>
    </row>
    <row r="607">
      <c r="A607" s="13"/>
      <c r="B607" s="13"/>
      <c r="C607" s="13"/>
      <c r="D607" s="13"/>
      <c r="E607" s="13"/>
      <c r="F607" s="13"/>
    </row>
    <row r="608">
      <c r="A608" s="13"/>
      <c r="B608" s="13"/>
      <c r="C608" s="13"/>
      <c r="D608" s="13"/>
      <c r="E608" s="13"/>
      <c r="F608" s="13"/>
    </row>
    <row r="609">
      <c r="A609" s="13"/>
      <c r="B609" s="13"/>
      <c r="C609" s="13"/>
      <c r="D609" s="13"/>
      <c r="E609" s="13"/>
      <c r="F609" s="13"/>
    </row>
    <row r="610">
      <c r="A610" s="13"/>
      <c r="B610" s="13"/>
      <c r="C610" s="13"/>
      <c r="D610" s="13"/>
      <c r="E610" s="13"/>
      <c r="F610" s="13"/>
    </row>
    <row r="611">
      <c r="A611" s="13"/>
      <c r="B611" s="13"/>
      <c r="C611" s="13"/>
      <c r="D611" s="13"/>
      <c r="E611" s="13"/>
      <c r="F611" s="13"/>
    </row>
    <row r="612">
      <c r="A612" s="13"/>
      <c r="B612" s="13"/>
      <c r="C612" s="13"/>
      <c r="D612" s="13"/>
      <c r="E612" s="13"/>
      <c r="F612" s="13"/>
    </row>
    <row r="613">
      <c r="A613" s="13"/>
      <c r="B613" s="13"/>
      <c r="C613" s="13"/>
      <c r="D613" s="13"/>
      <c r="E613" s="13"/>
      <c r="F613" s="13"/>
    </row>
    <row r="614">
      <c r="A614" s="13"/>
      <c r="B614" s="13"/>
      <c r="C614" s="13"/>
      <c r="D614" s="13"/>
      <c r="E614" s="13"/>
      <c r="F614" s="13"/>
    </row>
    <row r="615">
      <c r="A615" s="13"/>
      <c r="B615" s="13"/>
      <c r="C615" s="13"/>
      <c r="D615" s="13"/>
      <c r="E615" s="13"/>
      <c r="F615" s="13"/>
    </row>
    <row r="616">
      <c r="A616" s="13"/>
      <c r="B616" s="13"/>
      <c r="C616" s="13"/>
      <c r="D616" s="13"/>
      <c r="E616" s="13"/>
      <c r="F616" s="13"/>
    </row>
    <row r="617">
      <c r="A617" s="13"/>
      <c r="B617" s="13"/>
      <c r="C617" s="13"/>
      <c r="D617" s="13"/>
      <c r="E617" s="13"/>
      <c r="F617" s="13"/>
    </row>
    <row r="618">
      <c r="A618" s="13"/>
      <c r="B618" s="13"/>
      <c r="C618" s="13"/>
      <c r="D618" s="13"/>
      <c r="E618" s="13"/>
      <c r="F618" s="13"/>
    </row>
    <row r="619">
      <c r="A619" s="13"/>
      <c r="B619" s="13"/>
      <c r="C619" s="13"/>
      <c r="D619" s="13"/>
      <c r="E619" s="13"/>
      <c r="F619" s="13"/>
    </row>
    <row r="620">
      <c r="A620" s="13"/>
      <c r="B620" s="13"/>
      <c r="C620" s="13"/>
      <c r="D620" s="13"/>
      <c r="E620" s="13"/>
      <c r="F620" s="13"/>
    </row>
    <row r="621">
      <c r="A621" s="13"/>
      <c r="B621" s="13"/>
      <c r="C621" s="13"/>
      <c r="D621" s="13"/>
      <c r="E621" s="13"/>
      <c r="F621" s="13"/>
    </row>
    <row r="622">
      <c r="A622" s="13"/>
      <c r="B622" s="13"/>
      <c r="C622" s="13"/>
      <c r="D622" s="13"/>
      <c r="E622" s="13"/>
      <c r="F622" s="13"/>
    </row>
    <row r="623">
      <c r="A623" s="13"/>
      <c r="B623" s="13"/>
      <c r="C623" s="13"/>
      <c r="D623" s="13"/>
      <c r="E623" s="13"/>
      <c r="F623" s="13"/>
    </row>
    <row r="624">
      <c r="A624" s="13"/>
      <c r="B624" s="13"/>
      <c r="C624" s="13"/>
      <c r="D624" s="13"/>
      <c r="E624" s="13"/>
      <c r="F624" s="13"/>
    </row>
    <row r="625">
      <c r="A625" s="13"/>
      <c r="B625" s="13"/>
      <c r="C625" s="13"/>
      <c r="D625" s="13"/>
      <c r="E625" s="13"/>
      <c r="F625" s="13"/>
    </row>
    <row r="626">
      <c r="A626" s="13"/>
      <c r="B626" s="13"/>
      <c r="C626" s="13"/>
      <c r="D626" s="13"/>
      <c r="E626" s="13"/>
      <c r="F626" s="13"/>
    </row>
    <row r="627">
      <c r="A627" s="13"/>
      <c r="B627" s="13"/>
      <c r="C627" s="13"/>
      <c r="D627" s="13"/>
      <c r="E627" s="13"/>
      <c r="F627" s="13"/>
    </row>
    <row r="628">
      <c r="A628" s="13"/>
      <c r="B628" s="13"/>
      <c r="C628" s="13"/>
      <c r="D628" s="13"/>
      <c r="E628" s="13"/>
      <c r="F628" s="13"/>
    </row>
    <row r="629">
      <c r="A629" s="13"/>
      <c r="B629" s="13"/>
      <c r="C629" s="13"/>
      <c r="D629" s="13"/>
      <c r="E629" s="13"/>
      <c r="F629" s="13"/>
    </row>
    <row r="630">
      <c r="A630" s="13"/>
      <c r="B630" s="13"/>
      <c r="C630" s="13"/>
      <c r="D630" s="13"/>
      <c r="E630" s="13"/>
      <c r="F630" s="13"/>
    </row>
    <row r="631">
      <c r="A631" s="13"/>
      <c r="B631" s="13"/>
      <c r="C631" s="13"/>
      <c r="D631" s="13"/>
      <c r="E631" s="13"/>
      <c r="F631" s="13"/>
    </row>
    <row r="632">
      <c r="A632" s="13"/>
      <c r="B632" s="13"/>
      <c r="C632" s="13"/>
      <c r="D632" s="13"/>
      <c r="E632" s="13"/>
      <c r="F632" s="13"/>
    </row>
    <row r="633">
      <c r="A633" s="13"/>
      <c r="B633" s="13"/>
      <c r="C633" s="13"/>
      <c r="D633" s="13"/>
      <c r="E633" s="13"/>
      <c r="F633" s="13"/>
    </row>
    <row r="634">
      <c r="A634" s="13"/>
      <c r="B634" s="13"/>
      <c r="C634" s="13"/>
      <c r="D634" s="13"/>
      <c r="E634" s="13"/>
      <c r="F634" s="13"/>
    </row>
    <row r="635">
      <c r="A635" s="13"/>
      <c r="B635" s="13"/>
      <c r="C635" s="13"/>
      <c r="D635" s="13"/>
      <c r="E635" s="13"/>
      <c r="F635" s="13"/>
    </row>
    <row r="636">
      <c r="A636" s="13"/>
      <c r="B636" s="13"/>
      <c r="C636" s="13"/>
      <c r="D636" s="13"/>
      <c r="E636" s="13"/>
      <c r="F636" s="13"/>
    </row>
    <row r="637">
      <c r="A637" s="13"/>
      <c r="B637" s="13"/>
      <c r="C637" s="13"/>
      <c r="D637" s="13"/>
      <c r="E637" s="13"/>
      <c r="F637" s="13"/>
    </row>
    <row r="638">
      <c r="A638" s="13"/>
      <c r="B638" s="13"/>
      <c r="C638" s="13"/>
      <c r="D638" s="13"/>
      <c r="E638" s="13"/>
      <c r="F638" s="13"/>
    </row>
    <row r="639">
      <c r="A639" s="13"/>
      <c r="B639" s="13"/>
      <c r="C639" s="13"/>
      <c r="D639" s="13"/>
      <c r="E639" s="13"/>
      <c r="F639" s="13"/>
    </row>
    <row r="640">
      <c r="A640" s="13"/>
      <c r="B640" s="13"/>
      <c r="C640" s="13"/>
      <c r="D640" s="13"/>
      <c r="E640" s="13"/>
      <c r="F640" s="13"/>
    </row>
    <row r="641">
      <c r="A641" s="13"/>
      <c r="B641" s="13"/>
      <c r="C641" s="13"/>
      <c r="D641" s="13"/>
      <c r="E641" s="13"/>
      <c r="F641" s="13"/>
    </row>
    <row r="642">
      <c r="A642" s="13"/>
      <c r="B642" s="13"/>
      <c r="C642" s="13"/>
      <c r="D642" s="13"/>
      <c r="E642" s="13"/>
      <c r="F642" s="13"/>
    </row>
    <row r="643">
      <c r="A643" s="13"/>
      <c r="B643" s="13"/>
      <c r="C643" s="13"/>
      <c r="D643" s="13"/>
      <c r="E643" s="13"/>
      <c r="F643" s="13"/>
    </row>
    <row r="644">
      <c r="A644" s="13"/>
      <c r="B644" s="13"/>
      <c r="C644" s="13"/>
      <c r="D644" s="13"/>
      <c r="E644" s="13"/>
      <c r="F644" s="13"/>
    </row>
    <row r="645">
      <c r="A645" s="13"/>
      <c r="B645" s="13"/>
      <c r="C645" s="13"/>
      <c r="D645" s="13"/>
      <c r="E645" s="13"/>
      <c r="F645" s="13"/>
    </row>
    <row r="646">
      <c r="A646" s="13"/>
      <c r="B646" s="13"/>
      <c r="C646" s="13"/>
      <c r="D646" s="13"/>
      <c r="E646" s="13"/>
      <c r="F646" s="13"/>
    </row>
    <row r="647">
      <c r="A647" s="13"/>
      <c r="B647" s="13"/>
      <c r="C647" s="13"/>
      <c r="D647" s="13"/>
      <c r="E647" s="13"/>
      <c r="F647" s="13"/>
    </row>
    <row r="648">
      <c r="A648" s="13"/>
      <c r="B648" s="13"/>
      <c r="C648" s="13"/>
      <c r="D648" s="13"/>
      <c r="E648" s="13"/>
      <c r="F648" s="13"/>
    </row>
    <row r="649">
      <c r="A649" s="13"/>
      <c r="B649" s="13"/>
      <c r="C649" s="13"/>
      <c r="D649" s="13"/>
      <c r="E649" s="13"/>
      <c r="F649" s="13"/>
    </row>
    <row r="650">
      <c r="A650" s="13"/>
      <c r="B650" s="13"/>
      <c r="C650" s="13"/>
      <c r="D650" s="13"/>
      <c r="E650" s="13"/>
      <c r="F650" s="13"/>
    </row>
    <row r="651">
      <c r="A651" s="13"/>
      <c r="B651" s="13"/>
      <c r="C651" s="13"/>
      <c r="D651" s="13"/>
      <c r="E651" s="13"/>
      <c r="F651" s="13"/>
    </row>
    <row r="652">
      <c r="A652" s="13"/>
      <c r="B652" s="13"/>
      <c r="C652" s="13"/>
      <c r="D652" s="13"/>
      <c r="E652" s="13"/>
      <c r="F652" s="13"/>
    </row>
    <row r="653">
      <c r="A653" s="13"/>
      <c r="B653" s="13"/>
      <c r="C653" s="13"/>
      <c r="D653" s="13"/>
      <c r="E653" s="13"/>
      <c r="F653" s="13"/>
    </row>
    <row r="654">
      <c r="A654" s="13"/>
      <c r="B654" s="13"/>
      <c r="C654" s="13"/>
      <c r="D654" s="13"/>
      <c r="E654" s="13"/>
      <c r="F654" s="13"/>
    </row>
    <row r="655">
      <c r="A655" s="13"/>
      <c r="B655" s="13"/>
      <c r="C655" s="13"/>
      <c r="D655" s="13"/>
      <c r="E655" s="13"/>
      <c r="F655" s="13"/>
    </row>
    <row r="656">
      <c r="A656" s="13"/>
      <c r="B656" s="13"/>
      <c r="C656" s="13"/>
      <c r="D656" s="13"/>
      <c r="E656" s="13"/>
      <c r="F656" s="13"/>
    </row>
    <row r="657">
      <c r="A657" s="13"/>
      <c r="B657" s="13"/>
      <c r="C657" s="13"/>
      <c r="D657" s="13"/>
      <c r="E657" s="13"/>
      <c r="F657" s="13"/>
    </row>
    <row r="658">
      <c r="A658" s="13"/>
      <c r="B658" s="13"/>
      <c r="C658" s="13"/>
      <c r="D658" s="13"/>
      <c r="E658" s="13"/>
      <c r="F658" s="13"/>
    </row>
    <row r="659">
      <c r="A659" s="13"/>
      <c r="B659" s="13"/>
      <c r="C659" s="13"/>
      <c r="D659" s="13"/>
      <c r="E659" s="13"/>
      <c r="F659" s="13"/>
    </row>
    <row r="660">
      <c r="A660" s="13"/>
      <c r="B660" s="13"/>
      <c r="C660" s="13"/>
      <c r="D660" s="13"/>
      <c r="E660" s="13"/>
      <c r="F660" s="13"/>
    </row>
    <row r="661">
      <c r="A661" s="13"/>
      <c r="B661" s="13"/>
      <c r="C661" s="13"/>
      <c r="D661" s="13"/>
      <c r="E661" s="13"/>
      <c r="F661" s="13"/>
    </row>
    <row r="662">
      <c r="A662" s="13"/>
      <c r="B662" s="13"/>
      <c r="C662" s="13"/>
      <c r="D662" s="13"/>
      <c r="E662" s="13"/>
      <c r="F662" s="13"/>
    </row>
    <row r="663">
      <c r="A663" s="13"/>
      <c r="B663" s="13"/>
      <c r="C663" s="13"/>
      <c r="D663" s="13"/>
      <c r="E663" s="13"/>
      <c r="F663" s="13"/>
    </row>
    <row r="664">
      <c r="A664" s="13"/>
      <c r="B664" s="13"/>
      <c r="C664" s="13"/>
      <c r="D664" s="13"/>
      <c r="E664" s="13"/>
      <c r="F664" s="13"/>
    </row>
    <row r="665">
      <c r="A665" s="13"/>
      <c r="B665" s="13"/>
      <c r="C665" s="13"/>
      <c r="D665" s="13"/>
      <c r="E665" s="13"/>
      <c r="F665" s="13"/>
    </row>
    <row r="666">
      <c r="A666" s="13"/>
      <c r="B666" s="13"/>
      <c r="C666" s="13"/>
      <c r="D666" s="13"/>
      <c r="E666" s="13"/>
      <c r="F666" s="13"/>
    </row>
    <row r="667">
      <c r="A667" s="13"/>
      <c r="B667" s="13"/>
      <c r="C667" s="13"/>
      <c r="D667" s="13"/>
      <c r="E667" s="13"/>
      <c r="F667" s="13"/>
    </row>
    <row r="668">
      <c r="A668" s="13"/>
      <c r="B668" s="13"/>
      <c r="C668" s="13"/>
      <c r="D668" s="13"/>
      <c r="E668" s="13"/>
      <c r="F668" s="13"/>
    </row>
    <row r="669">
      <c r="A669" s="13"/>
      <c r="B669" s="13"/>
      <c r="C669" s="13"/>
      <c r="D669" s="13"/>
      <c r="E669" s="13"/>
      <c r="F669" s="13"/>
    </row>
    <row r="670">
      <c r="A670" s="13"/>
      <c r="B670" s="13"/>
      <c r="C670" s="13"/>
      <c r="D670" s="13"/>
      <c r="E670" s="13"/>
      <c r="F670" s="13"/>
    </row>
    <row r="671">
      <c r="A671" s="13"/>
      <c r="B671" s="13"/>
      <c r="C671" s="13"/>
      <c r="D671" s="13"/>
      <c r="E671" s="13"/>
      <c r="F671" s="13"/>
    </row>
    <row r="672">
      <c r="A672" s="13"/>
      <c r="B672" s="13"/>
      <c r="C672" s="13"/>
      <c r="D672" s="13"/>
      <c r="E672" s="13"/>
      <c r="F672" s="13"/>
    </row>
    <row r="673">
      <c r="A673" s="13"/>
      <c r="B673" s="13"/>
      <c r="C673" s="13"/>
      <c r="D673" s="13"/>
      <c r="E673" s="13"/>
      <c r="F673" s="13"/>
    </row>
    <row r="674">
      <c r="A674" s="13"/>
      <c r="B674" s="13"/>
      <c r="C674" s="13"/>
      <c r="D674" s="13"/>
      <c r="E674" s="13"/>
      <c r="F674" s="13"/>
    </row>
    <row r="675">
      <c r="A675" s="13"/>
      <c r="B675" s="13"/>
      <c r="C675" s="13"/>
      <c r="D675" s="13"/>
      <c r="E675" s="13"/>
      <c r="F675" s="13"/>
    </row>
    <row r="676">
      <c r="A676" s="13"/>
      <c r="B676" s="13"/>
      <c r="C676" s="13"/>
      <c r="D676" s="13"/>
      <c r="E676" s="13"/>
      <c r="F676" s="13"/>
    </row>
    <row r="677">
      <c r="A677" s="13"/>
      <c r="B677" s="13"/>
      <c r="C677" s="13"/>
      <c r="D677" s="13"/>
      <c r="E677" s="13"/>
      <c r="F677" s="13"/>
    </row>
    <row r="678">
      <c r="A678" s="13"/>
      <c r="B678" s="13"/>
      <c r="C678" s="13"/>
      <c r="D678" s="13"/>
      <c r="E678" s="13"/>
      <c r="F678" s="13"/>
    </row>
    <row r="679">
      <c r="A679" s="13"/>
      <c r="B679" s="13"/>
      <c r="C679" s="13"/>
      <c r="D679" s="13"/>
      <c r="E679" s="13"/>
      <c r="F679" s="13"/>
    </row>
    <row r="680">
      <c r="A680" s="13"/>
      <c r="B680" s="13"/>
      <c r="C680" s="13"/>
      <c r="D680" s="13"/>
      <c r="E680" s="13"/>
      <c r="F680" s="13"/>
    </row>
    <row r="681">
      <c r="A681" s="13"/>
      <c r="B681" s="13"/>
      <c r="C681" s="13"/>
      <c r="D681" s="13"/>
      <c r="E681" s="13"/>
      <c r="F681" s="13"/>
    </row>
    <row r="682">
      <c r="A682" s="13"/>
      <c r="B682" s="13"/>
      <c r="C682" s="13"/>
      <c r="D682" s="13"/>
      <c r="E682" s="13"/>
      <c r="F682" s="13"/>
    </row>
    <row r="683">
      <c r="A683" s="13"/>
      <c r="B683" s="13"/>
      <c r="C683" s="13"/>
      <c r="D683" s="13"/>
      <c r="E683" s="13"/>
      <c r="F683" s="13"/>
    </row>
    <row r="684">
      <c r="A684" s="13"/>
      <c r="B684" s="13"/>
      <c r="C684" s="13"/>
      <c r="D684" s="13"/>
      <c r="E684" s="13"/>
      <c r="F684" s="13"/>
    </row>
    <row r="685">
      <c r="A685" s="13"/>
      <c r="B685" s="13"/>
      <c r="C685" s="13"/>
      <c r="D685" s="13"/>
      <c r="E685" s="13"/>
      <c r="F685" s="13"/>
    </row>
    <row r="686">
      <c r="A686" s="13"/>
      <c r="B686" s="13"/>
      <c r="C686" s="13"/>
      <c r="D686" s="13"/>
      <c r="E686" s="13"/>
      <c r="F686" s="13"/>
    </row>
    <row r="687">
      <c r="A687" s="13"/>
      <c r="B687" s="13"/>
      <c r="C687" s="13"/>
      <c r="D687" s="13"/>
      <c r="E687" s="13"/>
      <c r="F687" s="13"/>
    </row>
    <row r="688">
      <c r="A688" s="13"/>
      <c r="B688" s="13"/>
      <c r="C688" s="13"/>
      <c r="D688" s="13"/>
      <c r="E688" s="13"/>
      <c r="F688" s="13"/>
    </row>
    <row r="689">
      <c r="A689" s="13"/>
      <c r="B689" s="13"/>
      <c r="C689" s="13"/>
      <c r="D689" s="13"/>
      <c r="E689" s="13"/>
      <c r="F689" s="13"/>
    </row>
    <row r="690">
      <c r="A690" s="13"/>
      <c r="B690" s="13"/>
      <c r="C690" s="13"/>
      <c r="D690" s="13"/>
      <c r="E690" s="13"/>
      <c r="F690" s="13"/>
    </row>
    <row r="691">
      <c r="A691" s="13"/>
      <c r="B691" s="13"/>
      <c r="C691" s="13"/>
      <c r="D691" s="13"/>
      <c r="E691" s="13"/>
      <c r="F691" s="13"/>
    </row>
    <row r="692">
      <c r="A692" s="13"/>
      <c r="B692" s="13"/>
      <c r="C692" s="13"/>
      <c r="D692" s="13"/>
      <c r="E692" s="13"/>
      <c r="F692" s="13"/>
    </row>
    <row r="693">
      <c r="A693" s="13"/>
      <c r="B693" s="13"/>
      <c r="C693" s="13"/>
      <c r="D693" s="13"/>
      <c r="E693" s="13"/>
      <c r="F693" s="13"/>
    </row>
    <row r="694">
      <c r="A694" s="13"/>
      <c r="B694" s="13"/>
      <c r="C694" s="13"/>
      <c r="D694" s="13"/>
      <c r="E694" s="13"/>
      <c r="F694" s="13"/>
    </row>
    <row r="695">
      <c r="A695" s="13"/>
      <c r="B695" s="13"/>
      <c r="C695" s="13"/>
      <c r="D695" s="13"/>
      <c r="E695" s="13"/>
      <c r="F695" s="13"/>
    </row>
    <row r="696">
      <c r="A696" s="13"/>
      <c r="B696" s="13"/>
      <c r="C696" s="13"/>
      <c r="D696" s="13"/>
      <c r="E696" s="13"/>
      <c r="F696" s="13"/>
    </row>
    <row r="697">
      <c r="A697" s="13"/>
      <c r="B697" s="13"/>
      <c r="C697" s="13"/>
      <c r="D697" s="13"/>
      <c r="E697" s="13"/>
      <c r="F697" s="13"/>
    </row>
    <row r="698">
      <c r="A698" s="13"/>
      <c r="B698" s="13"/>
      <c r="C698" s="13"/>
      <c r="D698" s="13"/>
      <c r="E698" s="13"/>
      <c r="F698" s="13"/>
    </row>
    <row r="699">
      <c r="A699" s="13"/>
      <c r="B699" s="13"/>
      <c r="C699" s="13"/>
      <c r="D699" s="13"/>
      <c r="E699" s="13"/>
      <c r="F699" s="13"/>
    </row>
    <row r="700">
      <c r="A700" s="13"/>
      <c r="B700" s="13"/>
      <c r="C700" s="13"/>
      <c r="D700" s="13"/>
      <c r="E700" s="13"/>
      <c r="F700" s="13"/>
    </row>
    <row r="701">
      <c r="A701" s="13"/>
      <c r="B701" s="13"/>
      <c r="C701" s="13"/>
      <c r="D701" s="13"/>
      <c r="E701" s="13"/>
      <c r="F701" s="13"/>
    </row>
    <row r="702">
      <c r="A702" s="13"/>
      <c r="B702" s="13"/>
      <c r="C702" s="13"/>
      <c r="D702" s="13"/>
      <c r="E702" s="13"/>
      <c r="F702" s="13"/>
    </row>
    <row r="703">
      <c r="A703" s="13"/>
      <c r="B703" s="13"/>
      <c r="C703" s="13"/>
      <c r="D703" s="13"/>
      <c r="E703" s="13"/>
      <c r="F703" s="13"/>
    </row>
    <row r="704">
      <c r="A704" s="13"/>
      <c r="B704" s="13"/>
      <c r="C704" s="13"/>
      <c r="D704" s="13"/>
      <c r="E704" s="13"/>
      <c r="F704" s="13"/>
    </row>
    <row r="705">
      <c r="A705" s="13"/>
      <c r="B705" s="13"/>
      <c r="C705" s="13"/>
      <c r="D705" s="13"/>
      <c r="E705" s="13"/>
      <c r="F705" s="13"/>
    </row>
    <row r="706">
      <c r="A706" s="13"/>
      <c r="B706" s="13"/>
      <c r="C706" s="13"/>
      <c r="D706" s="13"/>
      <c r="E706" s="13"/>
      <c r="F706" s="13"/>
    </row>
    <row r="707">
      <c r="A707" s="13"/>
      <c r="B707" s="13"/>
      <c r="C707" s="13"/>
      <c r="D707" s="13"/>
      <c r="E707" s="13"/>
      <c r="F707" s="13"/>
    </row>
    <row r="708">
      <c r="A708" s="13"/>
      <c r="B708" s="13"/>
      <c r="C708" s="13"/>
      <c r="D708" s="13"/>
      <c r="E708" s="13"/>
      <c r="F708" s="13"/>
    </row>
    <row r="709">
      <c r="A709" s="13"/>
      <c r="B709" s="13"/>
      <c r="C709" s="13"/>
      <c r="D709" s="13"/>
      <c r="E709" s="13"/>
      <c r="F709" s="13"/>
    </row>
    <row r="710">
      <c r="A710" s="13"/>
      <c r="B710" s="13"/>
      <c r="C710" s="13"/>
      <c r="D710" s="13"/>
      <c r="E710" s="13"/>
      <c r="F710" s="13"/>
    </row>
    <row r="711">
      <c r="A711" s="13"/>
      <c r="B711" s="13"/>
      <c r="C711" s="13"/>
      <c r="D711" s="13"/>
      <c r="E711" s="13"/>
      <c r="F711" s="13"/>
    </row>
    <row r="712">
      <c r="A712" s="13"/>
      <c r="B712" s="13"/>
      <c r="C712" s="13"/>
      <c r="D712" s="13"/>
      <c r="E712" s="13"/>
      <c r="F712" s="13"/>
    </row>
    <row r="713">
      <c r="A713" s="13"/>
      <c r="B713" s="13"/>
      <c r="C713" s="13"/>
      <c r="D713" s="13"/>
      <c r="E713" s="13"/>
      <c r="F713" s="13"/>
    </row>
    <row r="714">
      <c r="A714" s="13"/>
      <c r="B714" s="13"/>
      <c r="C714" s="13"/>
      <c r="D714" s="13"/>
      <c r="E714" s="13"/>
      <c r="F714" s="13"/>
    </row>
    <row r="715">
      <c r="A715" s="13"/>
      <c r="B715" s="13"/>
      <c r="C715" s="13"/>
      <c r="D715" s="13"/>
      <c r="E715" s="13"/>
      <c r="F715" s="13"/>
    </row>
    <row r="716">
      <c r="A716" s="13"/>
      <c r="B716" s="13"/>
      <c r="C716" s="13"/>
      <c r="D716" s="13"/>
      <c r="E716" s="13"/>
      <c r="F716" s="13"/>
    </row>
    <row r="717">
      <c r="A717" s="13"/>
      <c r="B717" s="13"/>
      <c r="C717" s="13"/>
      <c r="D717" s="13"/>
      <c r="E717" s="13"/>
      <c r="F717" s="13"/>
    </row>
    <row r="718">
      <c r="A718" s="13"/>
      <c r="B718" s="13"/>
      <c r="C718" s="13"/>
      <c r="D718" s="13"/>
      <c r="E718" s="13"/>
      <c r="F718" s="13"/>
    </row>
    <row r="719">
      <c r="A719" s="13"/>
      <c r="B719" s="13"/>
      <c r="C719" s="13"/>
      <c r="D719" s="13"/>
      <c r="E719" s="13"/>
      <c r="F719" s="13"/>
    </row>
    <row r="720">
      <c r="A720" s="13"/>
      <c r="B720" s="13"/>
      <c r="C720" s="13"/>
      <c r="D720" s="13"/>
      <c r="E720" s="13"/>
      <c r="F720" s="13"/>
    </row>
    <row r="721">
      <c r="A721" s="13"/>
      <c r="B721" s="13"/>
      <c r="C721" s="13"/>
      <c r="D721" s="13"/>
      <c r="E721" s="13"/>
      <c r="F721" s="13"/>
    </row>
    <row r="722">
      <c r="A722" s="13"/>
      <c r="B722" s="13"/>
      <c r="C722" s="13"/>
      <c r="D722" s="13"/>
      <c r="E722" s="13"/>
      <c r="F722" s="13"/>
    </row>
    <row r="723">
      <c r="A723" s="13"/>
      <c r="B723" s="13"/>
      <c r="C723" s="13"/>
      <c r="D723" s="13"/>
      <c r="E723" s="13"/>
      <c r="F723" s="13"/>
    </row>
    <row r="724">
      <c r="A724" s="13"/>
      <c r="B724" s="13"/>
      <c r="C724" s="13"/>
      <c r="D724" s="13"/>
      <c r="E724" s="13"/>
      <c r="F724" s="13"/>
    </row>
    <row r="725">
      <c r="A725" s="13"/>
      <c r="B725" s="13"/>
      <c r="C725" s="13"/>
      <c r="D725" s="13"/>
      <c r="E725" s="13"/>
      <c r="F725" s="13"/>
    </row>
    <row r="726">
      <c r="A726" s="13"/>
      <c r="B726" s="13"/>
      <c r="C726" s="13"/>
      <c r="D726" s="13"/>
      <c r="E726" s="13"/>
      <c r="F726" s="13"/>
    </row>
    <row r="727">
      <c r="A727" s="13"/>
      <c r="B727" s="13"/>
      <c r="C727" s="13"/>
      <c r="D727" s="13"/>
      <c r="E727" s="13"/>
      <c r="F727" s="13"/>
    </row>
    <row r="728">
      <c r="A728" s="13"/>
      <c r="B728" s="13"/>
      <c r="C728" s="13"/>
      <c r="D728" s="13"/>
      <c r="E728" s="13"/>
      <c r="F728" s="13"/>
    </row>
    <row r="729">
      <c r="A729" s="13"/>
      <c r="B729" s="13"/>
      <c r="C729" s="13"/>
      <c r="D729" s="13"/>
      <c r="E729" s="13"/>
      <c r="F729" s="13"/>
    </row>
    <row r="730">
      <c r="A730" s="13"/>
      <c r="B730" s="13"/>
      <c r="C730" s="13"/>
      <c r="D730" s="13"/>
      <c r="E730" s="13"/>
      <c r="F730" s="13"/>
    </row>
    <row r="731">
      <c r="A731" s="13"/>
      <c r="B731" s="13"/>
      <c r="C731" s="13"/>
      <c r="D731" s="13"/>
      <c r="E731" s="13"/>
      <c r="F731" s="13"/>
    </row>
    <row r="732">
      <c r="A732" s="13"/>
      <c r="B732" s="13"/>
      <c r="C732" s="13"/>
      <c r="D732" s="13"/>
      <c r="E732" s="13"/>
      <c r="F732" s="13"/>
    </row>
    <row r="733">
      <c r="A733" s="13"/>
      <c r="B733" s="13"/>
      <c r="C733" s="13"/>
      <c r="D733" s="13"/>
      <c r="E733" s="13"/>
      <c r="F733" s="13"/>
    </row>
    <row r="734">
      <c r="A734" s="13"/>
      <c r="B734" s="13"/>
      <c r="C734" s="13"/>
      <c r="D734" s="13"/>
      <c r="E734" s="13"/>
      <c r="F734" s="13"/>
    </row>
    <row r="735">
      <c r="A735" s="13"/>
      <c r="B735" s="13"/>
      <c r="C735" s="13"/>
      <c r="D735" s="13"/>
      <c r="E735" s="13"/>
      <c r="F735" s="13"/>
    </row>
    <row r="736">
      <c r="A736" s="13"/>
      <c r="B736" s="13"/>
      <c r="C736" s="13"/>
      <c r="D736" s="13"/>
      <c r="E736" s="13"/>
      <c r="F736" s="13"/>
    </row>
    <row r="737">
      <c r="A737" s="13"/>
      <c r="B737" s="13"/>
      <c r="C737" s="13"/>
      <c r="D737" s="13"/>
      <c r="E737" s="13"/>
      <c r="F737" s="13"/>
    </row>
    <row r="738">
      <c r="A738" s="13"/>
      <c r="B738" s="13"/>
      <c r="C738" s="13"/>
      <c r="D738" s="13"/>
      <c r="E738" s="13"/>
      <c r="F738" s="13"/>
    </row>
    <row r="739">
      <c r="A739" s="13"/>
      <c r="B739" s="13"/>
      <c r="C739" s="13"/>
      <c r="D739" s="13"/>
      <c r="E739" s="13"/>
      <c r="F739" s="13"/>
    </row>
    <row r="740">
      <c r="A740" s="13"/>
      <c r="B740" s="13"/>
      <c r="C740" s="13"/>
      <c r="D740" s="13"/>
      <c r="E740" s="13"/>
      <c r="F740" s="13"/>
    </row>
    <row r="741">
      <c r="A741" s="13"/>
      <c r="B741" s="13"/>
      <c r="C741" s="13"/>
      <c r="D741" s="13"/>
      <c r="E741" s="13"/>
      <c r="F741" s="13"/>
    </row>
    <row r="742">
      <c r="A742" s="13"/>
      <c r="B742" s="13"/>
      <c r="C742" s="13"/>
      <c r="D742" s="13"/>
      <c r="E742" s="13"/>
      <c r="F742" s="13"/>
    </row>
    <row r="743">
      <c r="A743" s="13"/>
      <c r="B743" s="13"/>
      <c r="C743" s="13"/>
      <c r="D743" s="13"/>
      <c r="E743" s="13"/>
      <c r="F743" s="13"/>
    </row>
    <row r="744">
      <c r="A744" s="13"/>
      <c r="B744" s="13"/>
      <c r="C744" s="13"/>
      <c r="D744" s="13"/>
      <c r="E744" s="13"/>
      <c r="F744" s="13"/>
    </row>
    <row r="745">
      <c r="A745" s="13"/>
      <c r="B745" s="13"/>
      <c r="C745" s="13"/>
      <c r="D745" s="13"/>
      <c r="E745" s="13"/>
      <c r="F745" s="13"/>
    </row>
    <row r="746">
      <c r="A746" s="13"/>
      <c r="B746" s="13"/>
      <c r="C746" s="13"/>
      <c r="D746" s="13"/>
      <c r="E746" s="13"/>
      <c r="F746" s="13"/>
    </row>
    <row r="747">
      <c r="A747" s="13"/>
      <c r="B747" s="13"/>
      <c r="C747" s="13"/>
      <c r="D747" s="13"/>
      <c r="E747" s="13"/>
      <c r="F747" s="13"/>
    </row>
    <row r="748">
      <c r="A748" s="13"/>
      <c r="B748" s="13"/>
      <c r="C748" s="13"/>
      <c r="D748" s="13"/>
      <c r="E748" s="13"/>
      <c r="F748" s="13"/>
    </row>
    <row r="749">
      <c r="A749" s="13"/>
      <c r="B749" s="13"/>
      <c r="C749" s="13"/>
      <c r="D749" s="13"/>
      <c r="E749" s="13"/>
      <c r="F749" s="13"/>
    </row>
    <row r="750">
      <c r="A750" s="13"/>
      <c r="B750" s="13"/>
      <c r="C750" s="13"/>
      <c r="D750" s="13"/>
      <c r="E750" s="13"/>
      <c r="F750" s="13"/>
    </row>
    <row r="751">
      <c r="A751" s="13"/>
      <c r="B751" s="13"/>
      <c r="C751" s="13"/>
      <c r="D751" s="13"/>
      <c r="E751" s="13"/>
      <c r="F751" s="13"/>
    </row>
    <row r="752">
      <c r="A752" s="13"/>
      <c r="B752" s="13"/>
      <c r="C752" s="13"/>
      <c r="D752" s="13"/>
      <c r="E752" s="13"/>
      <c r="F752" s="13"/>
    </row>
    <row r="753">
      <c r="A753" s="13"/>
      <c r="B753" s="13"/>
      <c r="C753" s="13"/>
      <c r="D753" s="13"/>
      <c r="E753" s="13"/>
      <c r="F753" s="13"/>
    </row>
    <row r="754">
      <c r="A754" s="13"/>
      <c r="B754" s="13"/>
      <c r="C754" s="13"/>
      <c r="D754" s="13"/>
      <c r="E754" s="13"/>
      <c r="F754" s="13"/>
    </row>
    <row r="755">
      <c r="A755" s="13"/>
      <c r="B755" s="13"/>
      <c r="C755" s="13"/>
      <c r="D755" s="13"/>
      <c r="E755" s="13"/>
      <c r="F755" s="13"/>
    </row>
    <row r="756">
      <c r="A756" s="13"/>
      <c r="B756" s="13"/>
      <c r="C756" s="13"/>
      <c r="D756" s="13"/>
      <c r="E756" s="13"/>
      <c r="F756" s="13"/>
    </row>
    <row r="757">
      <c r="A757" s="13"/>
      <c r="B757" s="13"/>
      <c r="C757" s="13"/>
      <c r="D757" s="13"/>
      <c r="E757" s="13"/>
      <c r="F757" s="13"/>
    </row>
    <row r="758">
      <c r="A758" s="13"/>
      <c r="B758" s="13"/>
      <c r="C758" s="13"/>
      <c r="D758" s="13"/>
      <c r="E758" s="13"/>
      <c r="F758" s="13"/>
    </row>
    <row r="759">
      <c r="A759" s="13"/>
      <c r="B759" s="13"/>
      <c r="C759" s="13"/>
      <c r="D759" s="13"/>
      <c r="E759" s="13"/>
      <c r="F759" s="13"/>
    </row>
    <row r="760">
      <c r="A760" s="13"/>
      <c r="B760" s="13"/>
      <c r="C760" s="13"/>
      <c r="D760" s="13"/>
      <c r="E760" s="13"/>
      <c r="F760" s="13"/>
    </row>
    <row r="761">
      <c r="A761" s="13"/>
      <c r="B761" s="13"/>
      <c r="C761" s="13"/>
      <c r="D761" s="13"/>
      <c r="E761" s="13"/>
      <c r="F761" s="13"/>
    </row>
    <row r="762">
      <c r="A762" s="13"/>
      <c r="B762" s="13"/>
      <c r="C762" s="13"/>
      <c r="D762" s="13"/>
      <c r="E762" s="13"/>
      <c r="F762" s="13"/>
    </row>
    <row r="763">
      <c r="A763" s="13"/>
      <c r="B763" s="13"/>
      <c r="C763" s="13"/>
      <c r="D763" s="13"/>
      <c r="E763" s="13"/>
      <c r="F763" s="13"/>
    </row>
    <row r="764">
      <c r="A764" s="13"/>
      <c r="B764" s="13"/>
      <c r="C764" s="13"/>
      <c r="D764" s="13"/>
      <c r="E764" s="13"/>
      <c r="F764" s="13"/>
    </row>
    <row r="765">
      <c r="A765" s="13"/>
      <c r="B765" s="13"/>
      <c r="C765" s="13"/>
      <c r="D765" s="13"/>
      <c r="E765" s="13"/>
      <c r="F765" s="13"/>
    </row>
    <row r="766">
      <c r="A766" s="13"/>
      <c r="B766" s="13"/>
      <c r="C766" s="13"/>
      <c r="D766" s="13"/>
      <c r="E766" s="13"/>
      <c r="F766" s="13"/>
    </row>
    <row r="767">
      <c r="A767" s="13"/>
      <c r="B767" s="13"/>
      <c r="C767" s="13"/>
      <c r="D767" s="13"/>
      <c r="E767" s="13"/>
      <c r="F767" s="13"/>
    </row>
    <row r="768">
      <c r="A768" s="13"/>
      <c r="B768" s="13"/>
      <c r="C768" s="13"/>
      <c r="D768" s="13"/>
      <c r="E768" s="13"/>
      <c r="F768" s="13"/>
    </row>
    <row r="769">
      <c r="A769" s="13"/>
      <c r="B769" s="13"/>
      <c r="C769" s="13"/>
      <c r="D769" s="13"/>
      <c r="E769" s="13"/>
      <c r="F769" s="13"/>
    </row>
    <row r="770">
      <c r="A770" s="13"/>
      <c r="B770" s="13"/>
      <c r="C770" s="13"/>
      <c r="D770" s="13"/>
      <c r="E770" s="13"/>
      <c r="F770" s="13"/>
    </row>
    <row r="771">
      <c r="A771" s="13"/>
      <c r="B771" s="13"/>
      <c r="C771" s="13"/>
      <c r="D771" s="13"/>
      <c r="E771" s="13"/>
      <c r="F771" s="13"/>
    </row>
    <row r="772">
      <c r="A772" s="13"/>
      <c r="B772" s="13"/>
      <c r="C772" s="13"/>
      <c r="D772" s="13"/>
      <c r="E772" s="13"/>
      <c r="F772" s="13"/>
    </row>
    <row r="773">
      <c r="A773" s="13"/>
      <c r="B773" s="13"/>
      <c r="C773" s="13"/>
      <c r="D773" s="13"/>
      <c r="E773" s="13"/>
      <c r="F773" s="13"/>
    </row>
    <row r="774">
      <c r="A774" s="13"/>
      <c r="B774" s="13"/>
      <c r="C774" s="13"/>
      <c r="D774" s="13"/>
      <c r="E774" s="13"/>
      <c r="F774" s="13"/>
    </row>
    <row r="775">
      <c r="A775" s="13"/>
      <c r="B775" s="13"/>
      <c r="C775" s="13"/>
      <c r="D775" s="13"/>
      <c r="E775" s="13"/>
      <c r="F775" s="13"/>
    </row>
    <row r="776">
      <c r="A776" s="13"/>
      <c r="B776" s="13"/>
      <c r="C776" s="13"/>
      <c r="D776" s="13"/>
      <c r="E776" s="13"/>
      <c r="F776" s="13"/>
    </row>
    <row r="777">
      <c r="A777" s="13"/>
      <c r="B777" s="13"/>
      <c r="C777" s="13"/>
      <c r="D777" s="13"/>
      <c r="E777" s="13"/>
      <c r="F777" s="13"/>
    </row>
    <row r="778">
      <c r="A778" s="13"/>
      <c r="B778" s="13"/>
      <c r="C778" s="13"/>
      <c r="D778" s="13"/>
      <c r="E778" s="13"/>
      <c r="F778" s="13"/>
    </row>
    <row r="779">
      <c r="A779" s="13"/>
      <c r="B779" s="13"/>
      <c r="C779" s="13"/>
      <c r="D779" s="13"/>
      <c r="E779" s="13"/>
      <c r="F779" s="13"/>
    </row>
    <row r="780">
      <c r="A780" s="13"/>
      <c r="B780" s="13"/>
      <c r="C780" s="13"/>
      <c r="D780" s="13"/>
      <c r="E780" s="13"/>
      <c r="F780" s="13"/>
    </row>
    <row r="781">
      <c r="A781" s="13"/>
      <c r="B781" s="13"/>
      <c r="C781" s="13"/>
      <c r="D781" s="13"/>
      <c r="E781" s="13"/>
      <c r="F781" s="13"/>
    </row>
    <row r="782">
      <c r="A782" s="13"/>
      <c r="B782" s="13"/>
      <c r="C782" s="13"/>
      <c r="D782" s="13"/>
      <c r="E782" s="13"/>
      <c r="F782" s="13"/>
    </row>
    <row r="783">
      <c r="A783" s="13"/>
      <c r="B783" s="13"/>
      <c r="C783" s="13"/>
      <c r="D783" s="13"/>
      <c r="E783" s="13"/>
      <c r="F783" s="13"/>
    </row>
    <row r="784">
      <c r="A784" s="13"/>
      <c r="B784" s="13"/>
      <c r="C784" s="13"/>
      <c r="D784" s="13"/>
      <c r="E784" s="13"/>
      <c r="F784" s="13"/>
    </row>
    <row r="785">
      <c r="A785" s="13"/>
      <c r="B785" s="13"/>
      <c r="C785" s="13"/>
      <c r="D785" s="13"/>
      <c r="E785" s="13"/>
      <c r="F785" s="13"/>
    </row>
    <row r="786">
      <c r="A786" s="13"/>
      <c r="B786" s="13"/>
      <c r="C786" s="13"/>
      <c r="D786" s="13"/>
      <c r="E786" s="13"/>
      <c r="F786" s="13"/>
    </row>
    <row r="787">
      <c r="A787" s="13"/>
      <c r="B787" s="13"/>
      <c r="C787" s="13"/>
      <c r="D787" s="13"/>
      <c r="E787" s="13"/>
      <c r="F787" s="13"/>
    </row>
    <row r="788">
      <c r="A788" s="13"/>
      <c r="B788" s="13"/>
      <c r="C788" s="13"/>
      <c r="D788" s="13"/>
      <c r="E788" s="13"/>
      <c r="F788" s="13"/>
    </row>
    <row r="789">
      <c r="A789" s="13"/>
      <c r="B789" s="13"/>
      <c r="C789" s="13"/>
      <c r="D789" s="13"/>
      <c r="E789" s="13"/>
      <c r="F789" s="13"/>
    </row>
    <row r="790">
      <c r="A790" s="13"/>
      <c r="B790" s="13"/>
      <c r="C790" s="13"/>
      <c r="D790" s="13"/>
      <c r="E790" s="13"/>
      <c r="F790" s="13"/>
    </row>
    <row r="791">
      <c r="A791" s="13"/>
      <c r="B791" s="13"/>
      <c r="C791" s="13"/>
      <c r="D791" s="13"/>
      <c r="E791" s="13"/>
      <c r="F791" s="13"/>
    </row>
    <row r="792">
      <c r="A792" s="13"/>
      <c r="B792" s="13"/>
      <c r="C792" s="13"/>
      <c r="D792" s="13"/>
      <c r="E792" s="13"/>
      <c r="F792" s="13"/>
    </row>
    <row r="793">
      <c r="A793" s="13"/>
      <c r="B793" s="13"/>
      <c r="C793" s="13"/>
      <c r="D793" s="13"/>
      <c r="E793" s="13"/>
      <c r="F793" s="13"/>
    </row>
    <row r="794">
      <c r="A794" s="13"/>
      <c r="B794" s="13"/>
      <c r="C794" s="13"/>
      <c r="D794" s="13"/>
      <c r="E794" s="13"/>
      <c r="F794" s="13"/>
    </row>
    <row r="795">
      <c r="A795" s="13"/>
      <c r="B795" s="13"/>
      <c r="C795" s="13"/>
      <c r="D795" s="13"/>
      <c r="E795" s="13"/>
      <c r="F795" s="13"/>
    </row>
    <row r="796">
      <c r="A796" s="13"/>
      <c r="B796" s="13"/>
      <c r="C796" s="13"/>
      <c r="D796" s="13"/>
      <c r="E796" s="13"/>
      <c r="F796" s="13"/>
    </row>
    <row r="797">
      <c r="A797" s="13"/>
      <c r="B797" s="13"/>
      <c r="C797" s="13"/>
      <c r="D797" s="13"/>
      <c r="E797" s="13"/>
      <c r="F797" s="13"/>
    </row>
    <row r="798">
      <c r="A798" s="13"/>
      <c r="B798" s="13"/>
      <c r="C798" s="13"/>
      <c r="D798" s="13"/>
      <c r="E798" s="13"/>
      <c r="F798" s="13"/>
    </row>
    <row r="799">
      <c r="A799" s="13"/>
      <c r="B799" s="13"/>
      <c r="C799" s="13"/>
      <c r="D799" s="13"/>
      <c r="E799" s="13"/>
      <c r="F799" s="13"/>
    </row>
    <row r="800">
      <c r="A800" s="13"/>
      <c r="B800" s="13"/>
      <c r="C800" s="13"/>
      <c r="D800" s="13"/>
      <c r="E800" s="13"/>
      <c r="F800" s="13"/>
    </row>
    <row r="801">
      <c r="A801" s="13"/>
      <c r="B801" s="13"/>
      <c r="C801" s="13"/>
      <c r="D801" s="13"/>
      <c r="E801" s="13"/>
      <c r="F801" s="13"/>
    </row>
    <row r="802">
      <c r="A802" s="13"/>
      <c r="B802" s="13"/>
      <c r="C802" s="13"/>
      <c r="D802" s="13"/>
      <c r="E802" s="13"/>
      <c r="F802" s="13"/>
    </row>
    <row r="803">
      <c r="A803" s="13"/>
      <c r="B803" s="13"/>
      <c r="C803" s="13"/>
      <c r="D803" s="13"/>
      <c r="E803" s="13"/>
      <c r="F803" s="13"/>
    </row>
    <row r="804">
      <c r="A804" s="13"/>
      <c r="B804" s="13"/>
      <c r="C804" s="13"/>
      <c r="D804" s="13"/>
      <c r="E804" s="13"/>
      <c r="F804" s="13"/>
    </row>
    <row r="805">
      <c r="A805" s="13"/>
      <c r="B805" s="13"/>
      <c r="C805" s="13"/>
      <c r="D805" s="13"/>
      <c r="E805" s="13"/>
      <c r="F805" s="13"/>
    </row>
    <row r="806">
      <c r="A806" s="13"/>
      <c r="B806" s="13"/>
      <c r="C806" s="13"/>
      <c r="D806" s="13"/>
      <c r="E806" s="13"/>
      <c r="F806" s="13"/>
    </row>
    <row r="807">
      <c r="A807" s="13"/>
      <c r="B807" s="13"/>
      <c r="C807" s="13"/>
      <c r="D807" s="13"/>
      <c r="E807" s="13"/>
      <c r="F807" s="13"/>
    </row>
    <row r="808">
      <c r="A808" s="13"/>
      <c r="B808" s="13"/>
      <c r="C808" s="13"/>
      <c r="D808" s="13"/>
      <c r="E808" s="13"/>
      <c r="F808" s="13"/>
    </row>
    <row r="809">
      <c r="A809" s="13"/>
      <c r="B809" s="13"/>
      <c r="C809" s="13"/>
      <c r="D809" s="13"/>
      <c r="E809" s="13"/>
      <c r="F809" s="13"/>
    </row>
    <row r="810">
      <c r="A810" s="13"/>
      <c r="B810" s="13"/>
      <c r="C810" s="13"/>
      <c r="D810" s="13"/>
      <c r="E810" s="13"/>
      <c r="F810" s="13"/>
    </row>
    <row r="811">
      <c r="A811" s="13"/>
      <c r="B811" s="13"/>
      <c r="C811" s="13"/>
      <c r="D811" s="13"/>
      <c r="E811" s="13"/>
      <c r="F811" s="13"/>
    </row>
    <row r="812">
      <c r="A812" s="13"/>
      <c r="B812" s="13"/>
      <c r="C812" s="13"/>
      <c r="D812" s="13"/>
      <c r="E812" s="13"/>
      <c r="F812" s="13"/>
    </row>
    <row r="813">
      <c r="A813" s="13"/>
      <c r="B813" s="13"/>
      <c r="C813" s="13"/>
      <c r="D813" s="13"/>
      <c r="E813" s="13"/>
      <c r="F813" s="13"/>
    </row>
    <row r="814">
      <c r="A814" s="13"/>
      <c r="B814" s="13"/>
      <c r="C814" s="13"/>
      <c r="D814" s="13"/>
      <c r="E814" s="13"/>
      <c r="F814" s="13"/>
    </row>
    <row r="815">
      <c r="A815" s="13"/>
      <c r="B815" s="13"/>
      <c r="C815" s="13"/>
      <c r="D815" s="13"/>
      <c r="E815" s="13"/>
      <c r="F815" s="13"/>
    </row>
    <row r="816">
      <c r="A816" s="13"/>
      <c r="B816" s="13"/>
      <c r="C816" s="13"/>
      <c r="D816" s="13"/>
      <c r="E816" s="13"/>
      <c r="F816" s="13"/>
    </row>
    <row r="817">
      <c r="A817" s="13"/>
      <c r="B817" s="13"/>
      <c r="C817" s="13"/>
      <c r="D817" s="13"/>
      <c r="E817" s="13"/>
      <c r="F817" s="13"/>
    </row>
    <row r="818">
      <c r="A818" s="13"/>
      <c r="B818" s="13"/>
      <c r="C818" s="13"/>
      <c r="D818" s="13"/>
      <c r="E818" s="13"/>
      <c r="F818" s="13"/>
    </row>
    <row r="819">
      <c r="A819" s="13"/>
      <c r="B819" s="13"/>
      <c r="C819" s="13"/>
      <c r="D819" s="13"/>
      <c r="E819" s="13"/>
      <c r="F819" s="13"/>
    </row>
    <row r="820">
      <c r="A820" s="13"/>
      <c r="B820" s="13"/>
      <c r="C820" s="13"/>
      <c r="D820" s="13"/>
      <c r="E820" s="13"/>
      <c r="F820" s="13"/>
    </row>
    <row r="821">
      <c r="A821" s="13"/>
      <c r="B821" s="13"/>
      <c r="C821" s="13"/>
      <c r="D821" s="13"/>
      <c r="E821" s="13"/>
      <c r="F821" s="13"/>
    </row>
    <row r="822">
      <c r="A822" s="13"/>
      <c r="B822" s="13"/>
      <c r="C822" s="13"/>
      <c r="D822" s="13"/>
      <c r="E822" s="13"/>
      <c r="F822" s="13"/>
    </row>
    <row r="823">
      <c r="A823" s="13"/>
      <c r="B823" s="13"/>
      <c r="C823" s="13"/>
      <c r="D823" s="13"/>
      <c r="E823" s="13"/>
      <c r="F823" s="13"/>
    </row>
    <row r="824">
      <c r="A824" s="13"/>
      <c r="B824" s="13"/>
      <c r="C824" s="13"/>
      <c r="D824" s="13"/>
      <c r="E824" s="13"/>
      <c r="F824" s="13"/>
    </row>
    <row r="825">
      <c r="A825" s="13"/>
      <c r="B825" s="13"/>
      <c r="C825" s="13"/>
      <c r="D825" s="13"/>
      <c r="E825" s="13"/>
      <c r="F825" s="13"/>
    </row>
    <row r="826">
      <c r="A826" s="13"/>
      <c r="B826" s="13"/>
      <c r="C826" s="13"/>
      <c r="D826" s="13"/>
      <c r="E826" s="13"/>
      <c r="F826" s="13"/>
    </row>
    <row r="827">
      <c r="A827" s="13"/>
      <c r="B827" s="13"/>
      <c r="C827" s="13"/>
      <c r="D827" s="13"/>
      <c r="E827" s="13"/>
      <c r="F827" s="13"/>
    </row>
    <row r="828">
      <c r="A828" s="13"/>
      <c r="B828" s="13"/>
      <c r="C828" s="13"/>
      <c r="D828" s="13"/>
      <c r="E828" s="13"/>
      <c r="F828" s="13"/>
    </row>
    <row r="829">
      <c r="A829" s="13"/>
      <c r="B829" s="13"/>
      <c r="C829" s="13"/>
      <c r="D829" s="13"/>
      <c r="E829" s="13"/>
      <c r="F829" s="13"/>
    </row>
    <row r="830">
      <c r="A830" s="13"/>
      <c r="B830" s="13"/>
      <c r="C830" s="13"/>
      <c r="D830" s="13"/>
      <c r="E830" s="13"/>
      <c r="F830" s="13"/>
    </row>
    <row r="831">
      <c r="A831" s="13"/>
      <c r="B831" s="13"/>
      <c r="C831" s="13"/>
      <c r="D831" s="13"/>
      <c r="E831" s="13"/>
      <c r="F831" s="13"/>
    </row>
    <row r="832">
      <c r="A832" s="13"/>
      <c r="B832" s="13"/>
      <c r="C832" s="13"/>
      <c r="D832" s="13"/>
      <c r="E832" s="13"/>
      <c r="F832" s="13"/>
    </row>
    <row r="833">
      <c r="A833" s="13"/>
      <c r="B833" s="13"/>
      <c r="C833" s="13"/>
      <c r="D833" s="13"/>
      <c r="E833" s="13"/>
      <c r="F833" s="13"/>
    </row>
    <row r="834">
      <c r="A834" s="13"/>
      <c r="B834" s="13"/>
      <c r="C834" s="13"/>
      <c r="D834" s="13"/>
      <c r="E834" s="13"/>
      <c r="F834" s="13"/>
    </row>
    <row r="835">
      <c r="A835" s="13"/>
      <c r="B835" s="13"/>
      <c r="C835" s="13"/>
      <c r="D835" s="13"/>
      <c r="E835" s="13"/>
      <c r="F835" s="13"/>
    </row>
    <row r="836">
      <c r="A836" s="13"/>
      <c r="B836" s="13"/>
      <c r="C836" s="13"/>
      <c r="D836" s="13"/>
      <c r="E836" s="13"/>
      <c r="F836" s="13"/>
    </row>
    <row r="837">
      <c r="A837" s="13"/>
      <c r="B837" s="13"/>
      <c r="C837" s="13"/>
      <c r="D837" s="13"/>
      <c r="E837" s="13"/>
      <c r="F837" s="13"/>
    </row>
    <row r="838">
      <c r="A838" s="13"/>
      <c r="B838" s="13"/>
      <c r="C838" s="13"/>
      <c r="D838" s="13"/>
      <c r="E838" s="13"/>
      <c r="F838" s="13"/>
    </row>
    <row r="839">
      <c r="A839" s="13"/>
      <c r="B839" s="13"/>
      <c r="C839" s="13"/>
      <c r="D839" s="13"/>
      <c r="E839" s="13"/>
      <c r="F839" s="13"/>
    </row>
    <row r="840">
      <c r="A840" s="13"/>
      <c r="B840" s="13"/>
      <c r="C840" s="13"/>
      <c r="D840" s="13"/>
      <c r="E840" s="13"/>
      <c r="F840" s="13"/>
    </row>
    <row r="841">
      <c r="A841" s="13"/>
      <c r="B841" s="13"/>
      <c r="C841" s="13"/>
      <c r="D841" s="13"/>
      <c r="E841" s="13"/>
      <c r="F841" s="13"/>
    </row>
    <row r="842">
      <c r="A842" s="13"/>
      <c r="B842" s="13"/>
      <c r="C842" s="13"/>
      <c r="D842" s="13"/>
      <c r="E842" s="13"/>
      <c r="F842" s="13"/>
    </row>
    <row r="843">
      <c r="A843" s="13"/>
      <c r="B843" s="13"/>
      <c r="C843" s="13"/>
      <c r="D843" s="13"/>
      <c r="E843" s="13"/>
      <c r="F843" s="13"/>
    </row>
    <row r="844">
      <c r="A844" s="13"/>
      <c r="B844" s="13"/>
      <c r="C844" s="13"/>
      <c r="D844" s="13"/>
      <c r="E844" s="13"/>
      <c r="F844" s="13"/>
    </row>
    <row r="845">
      <c r="A845" s="13"/>
      <c r="B845" s="13"/>
      <c r="C845" s="13"/>
      <c r="D845" s="13"/>
      <c r="E845" s="13"/>
      <c r="F845" s="13"/>
    </row>
    <row r="846">
      <c r="A846" s="13"/>
      <c r="B846" s="13"/>
      <c r="C846" s="13"/>
      <c r="D846" s="13"/>
      <c r="E846" s="13"/>
      <c r="F846" s="13"/>
    </row>
    <row r="847">
      <c r="A847" s="13"/>
      <c r="B847" s="13"/>
      <c r="C847" s="13"/>
      <c r="D847" s="13"/>
      <c r="E847" s="13"/>
      <c r="F847" s="13"/>
    </row>
    <row r="848">
      <c r="A848" s="13"/>
      <c r="B848" s="13"/>
      <c r="C848" s="13"/>
      <c r="D848" s="13"/>
      <c r="E848" s="13"/>
      <c r="F848" s="13"/>
    </row>
    <row r="849">
      <c r="A849" s="13"/>
      <c r="B849" s="13"/>
      <c r="C849" s="13"/>
      <c r="D849" s="13"/>
      <c r="E849" s="13"/>
      <c r="F849" s="13"/>
    </row>
    <row r="850">
      <c r="A850" s="13"/>
      <c r="B850" s="13"/>
      <c r="C850" s="13"/>
      <c r="D850" s="13"/>
      <c r="E850" s="13"/>
      <c r="F850" s="13"/>
    </row>
    <row r="851">
      <c r="A851" s="13"/>
      <c r="B851" s="13"/>
      <c r="C851" s="13"/>
      <c r="D851" s="13"/>
      <c r="E851" s="13"/>
      <c r="F851" s="13"/>
    </row>
    <row r="852">
      <c r="A852" s="13"/>
      <c r="B852" s="13"/>
      <c r="C852" s="13"/>
      <c r="D852" s="13"/>
      <c r="E852" s="13"/>
      <c r="F852" s="13"/>
    </row>
    <row r="853">
      <c r="A853" s="13"/>
      <c r="B853" s="13"/>
      <c r="C853" s="13"/>
      <c r="D853" s="13"/>
      <c r="E853" s="13"/>
      <c r="F853" s="13"/>
    </row>
    <row r="854">
      <c r="A854" s="13"/>
      <c r="B854" s="13"/>
      <c r="C854" s="13"/>
      <c r="D854" s="13"/>
      <c r="E854" s="13"/>
      <c r="F854" s="13"/>
    </row>
    <row r="855">
      <c r="A855" s="13"/>
      <c r="B855" s="13"/>
      <c r="C855" s="13"/>
      <c r="D855" s="13"/>
      <c r="E855" s="13"/>
      <c r="F855" s="13"/>
    </row>
    <row r="856">
      <c r="A856" s="13"/>
      <c r="B856" s="13"/>
      <c r="C856" s="13"/>
      <c r="D856" s="13"/>
      <c r="E856" s="13"/>
      <c r="F856" s="13"/>
    </row>
    <row r="857">
      <c r="A857" s="13"/>
      <c r="B857" s="13"/>
      <c r="C857" s="13"/>
      <c r="D857" s="13"/>
      <c r="E857" s="13"/>
      <c r="F857" s="13"/>
    </row>
    <row r="858">
      <c r="A858" s="13"/>
      <c r="B858" s="13"/>
      <c r="C858" s="13"/>
      <c r="D858" s="13"/>
      <c r="E858" s="13"/>
      <c r="F858" s="13"/>
    </row>
    <row r="859">
      <c r="A859" s="13"/>
      <c r="B859" s="13"/>
      <c r="C859" s="13"/>
      <c r="D859" s="13"/>
      <c r="E859" s="13"/>
      <c r="F859" s="13"/>
    </row>
    <row r="860">
      <c r="A860" s="13"/>
      <c r="B860" s="13"/>
      <c r="C860" s="13"/>
      <c r="D860" s="13"/>
      <c r="E860" s="13"/>
      <c r="F860" s="13"/>
    </row>
    <row r="861">
      <c r="A861" s="13"/>
      <c r="B861" s="13"/>
      <c r="C861" s="13"/>
      <c r="D861" s="13"/>
      <c r="E861" s="13"/>
      <c r="F861" s="13"/>
    </row>
    <row r="862">
      <c r="A862" s="13"/>
      <c r="B862" s="13"/>
      <c r="C862" s="13"/>
      <c r="D862" s="13"/>
      <c r="E862" s="13"/>
      <c r="F862" s="13"/>
    </row>
    <row r="863">
      <c r="A863" s="13"/>
      <c r="B863" s="13"/>
      <c r="C863" s="13"/>
      <c r="D863" s="13"/>
      <c r="E863" s="13"/>
      <c r="F863" s="13"/>
    </row>
    <row r="864">
      <c r="A864" s="13"/>
      <c r="B864" s="13"/>
      <c r="C864" s="13"/>
      <c r="D864" s="13"/>
      <c r="E864" s="13"/>
      <c r="F864" s="13"/>
    </row>
    <row r="865">
      <c r="A865" s="13"/>
      <c r="B865" s="13"/>
      <c r="C865" s="13"/>
      <c r="D865" s="13"/>
      <c r="E865" s="13"/>
      <c r="F865" s="13"/>
    </row>
    <row r="866">
      <c r="A866" s="13"/>
      <c r="B866" s="13"/>
      <c r="C866" s="13"/>
      <c r="D866" s="13"/>
      <c r="E866" s="13"/>
      <c r="F866" s="13"/>
    </row>
    <row r="867">
      <c r="A867" s="13"/>
      <c r="B867" s="13"/>
      <c r="C867" s="13"/>
      <c r="D867" s="13"/>
      <c r="E867" s="13"/>
      <c r="F867" s="13"/>
    </row>
    <row r="868">
      <c r="A868" s="13"/>
      <c r="B868" s="13"/>
      <c r="C868" s="13"/>
      <c r="D868" s="13"/>
      <c r="E868" s="13"/>
      <c r="F868" s="13"/>
    </row>
    <row r="869">
      <c r="A869" s="13"/>
      <c r="B869" s="13"/>
      <c r="C869" s="13"/>
      <c r="D869" s="13"/>
      <c r="E869" s="13"/>
      <c r="F869" s="13"/>
    </row>
    <row r="870">
      <c r="A870" s="13"/>
      <c r="B870" s="13"/>
      <c r="C870" s="13"/>
      <c r="D870" s="13"/>
      <c r="E870" s="13"/>
      <c r="F870" s="13"/>
    </row>
    <row r="871">
      <c r="A871" s="13"/>
      <c r="B871" s="13"/>
      <c r="C871" s="13"/>
      <c r="D871" s="13"/>
      <c r="E871" s="13"/>
      <c r="F871" s="13"/>
    </row>
    <row r="872">
      <c r="A872" s="13"/>
      <c r="B872" s="13"/>
      <c r="C872" s="13"/>
      <c r="D872" s="13"/>
      <c r="E872" s="13"/>
      <c r="F872" s="13"/>
    </row>
    <row r="873">
      <c r="A873" s="13"/>
      <c r="B873" s="13"/>
      <c r="C873" s="13"/>
      <c r="D873" s="13"/>
      <c r="E873" s="13"/>
      <c r="F873" s="13"/>
    </row>
    <row r="874">
      <c r="A874" s="13"/>
      <c r="B874" s="13"/>
      <c r="C874" s="13"/>
      <c r="D874" s="13"/>
      <c r="E874" s="13"/>
      <c r="F874" s="13"/>
    </row>
    <row r="875">
      <c r="A875" s="13"/>
      <c r="B875" s="13"/>
      <c r="C875" s="13"/>
      <c r="D875" s="13"/>
      <c r="E875" s="13"/>
      <c r="F875" s="13"/>
    </row>
    <row r="876">
      <c r="A876" s="13"/>
      <c r="B876" s="13"/>
      <c r="C876" s="13"/>
      <c r="D876" s="13"/>
      <c r="E876" s="13"/>
      <c r="F876" s="13"/>
    </row>
    <row r="877">
      <c r="A877" s="13"/>
      <c r="B877" s="13"/>
      <c r="C877" s="13"/>
      <c r="D877" s="13"/>
      <c r="E877" s="13"/>
      <c r="F877" s="13"/>
    </row>
    <row r="878">
      <c r="A878" s="13"/>
      <c r="B878" s="13"/>
      <c r="C878" s="13"/>
      <c r="D878" s="13"/>
      <c r="E878" s="13"/>
      <c r="F878" s="13"/>
    </row>
    <row r="879">
      <c r="A879" s="13"/>
      <c r="B879" s="13"/>
      <c r="C879" s="13"/>
      <c r="D879" s="13"/>
      <c r="E879" s="13"/>
      <c r="F879" s="13"/>
    </row>
    <row r="880">
      <c r="A880" s="13"/>
      <c r="B880" s="13"/>
      <c r="C880" s="13"/>
      <c r="D880" s="13"/>
      <c r="E880" s="13"/>
      <c r="F880" s="13"/>
    </row>
    <row r="881">
      <c r="A881" s="13"/>
      <c r="B881" s="13"/>
      <c r="C881" s="13"/>
      <c r="D881" s="13"/>
      <c r="E881" s="13"/>
      <c r="F881" s="13"/>
    </row>
    <row r="882">
      <c r="A882" s="13"/>
      <c r="B882" s="13"/>
      <c r="C882" s="13"/>
      <c r="D882" s="13"/>
      <c r="E882" s="13"/>
      <c r="F882" s="13"/>
    </row>
    <row r="883">
      <c r="A883" s="13"/>
      <c r="B883" s="13"/>
      <c r="C883" s="13"/>
      <c r="D883" s="13"/>
      <c r="E883" s="13"/>
      <c r="F883" s="13"/>
    </row>
    <row r="884">
      <c r="A884" s="13"/>
      <c r="B884" s="13"/>
      <c r="C884" s="13"/>
      <c r="D884" s="13"/>
      <c r="E884" s="13"/>
      <c r="F884" s="13"/>
    </row>
    <row r="885">
      <c r="A885" s="13"/>
      <c r="B885" s="13"/>
      <c r="C885" s="13"/>
      <c r="D885" s="13"/>
      <c r="E885" s="13"/>
      <c r="F885" s="13"/>
    </row>
    <row r="886">
      <c r="A886" s="13"/>
      <c r="B886" s="13"/>
      <c r="C886" s="13"/>
      <c r="D886" s="13"/>
      <c r="E886" s="13"/>
      <c r="F886" s="13"/>
    </row>
    <row r="887">
      <c r="A887" s="13"/>
      <c r="B887" s="13"/>
      <c r="C887" s="13"/>
      <c r="D887" s="13"/>
      <c r="E887" s="13"/>
      <c r="F887" s="13"/>
    </row>
    <row r="888">
      <c r="A888" s="13"/>
      <c r="B888" s="13"/>
      <c r="C888" s="13"/>
      <c r="D888" s="13"/>
      <c r="E888" s="13"/>
      <c r="F888" s="13"/>
    </row>
    <row r="889">
      <c r="A889" s="13"/>
      <c r="B889" s="13"/>
      <c r="C889" s="13"/>
      <c r="D889" s="13"/>
      <c r="E889" s="13"/>
      <c r="F889" s="13"/>
    </row>
    <row r="890">
      <c r="A890" s="13"/>
      <c r="B890" s="13"/>
      <c r="C890" s="13"/>
      <c r="D890" s="13"/>
      <c r="E890" s="13"/>
      <c r="F890" s="13"/>
    </row>
    <row r="891">
      <c r="A891" s="13"/>
      <c r="B891" s="13"/>
      <c r="C891" s="13"/>
      <c r="D891" s="13"/>
      <c r="E891" s="13"/>
      <c r="F891" s="13"/>
    </row>
    <row r="892">
      <c r="A892" s="13"/>
      <c r="B892" s="13"/>
      <c r="C892" s="13"/>
      <c r="D892" s="13"/>
      <c r="E892" s="13"/>
      <c r="F892" s="13"/>
    </row>
    <row r="893">
      <c r="A893" s="13"/>
      <c r="B893" s="13"/>
      <c r="C893" s="13"/>
      <c r="D893" s="13"/>
      <c r="E893" s="13"/>
      <c r="F893" s="13"/>
    </row>
    <row r="894">
      <c r="A894" s="13"/>
      <c r="B894" s="13"/>
      <c r="C894" s="13"/>
      <c r="D894" s="13"/>
      <c r="E894" s="13"/>
      <c r="F894" s="13"/>
    </row>
    <row r="895">
      <c r="A895" s="13"/>
      <c r="B895" s="13"/>
      <c r="C895" s="13"/>
      <c r="D895" s="13"/>
      <c r="E895" s="13"/>
      <c r="F895" s="13"/>
    </row>
    <row r="896">
      <c r="A896" s="13"/>
      <c r="B896" s="13"/>
      <c r="C896" s="13"/>
      <c r="D896" s="13"/>
      <c r="E896" s="13"/>
      <c r="F896" s="13"/>
    </row>
    <row r="897">
      <c r="A897" s="13"/>
      <c r="B897" s="13"/>
      <c r="C897" s="13"/>
      <c r="D897" s="13"/>
      <c r="E897" s="13"/>
      <c r="F897" s="13"/>
    </row>
    <row r="898">
      <c r="A898" s="13"/>
      <c r="B898" s="13"/>
      <c r="C898" s="13"/>
      <c r="D898" s="13"/>
      <c r="E898" s="13"/>
      <c r="F898" s="13"/>
    </row>
    <row r="899">
      <c r="A899" s="13"/>
      <c r="B899" s="13"/>
      <c r="C899" s="13"/>
      <c r="D899" s="13"/>
      <c r="E899" s="13"/>
      <c r="F899" s="13"/>
    </row>
    <row r="900">
      <c r="A900" s="13"/>
      <c r="B900" s="13"/>
      <c r="C900" s="13"/>
      <c r="D900" s="13"/>
      <c r="E900" s="13"/>
      <c r="F900" s="13"/>
    </row>
    <row r="901">
      <c r="A901" s="13"/>
      <c r="B901" s="13"/>
      <c r="C901" s="13"/>
      <c r="D901" s="13"/>
      <c r="E901" s="13"/>
      <c r="F901" s="13"/>
    </row>
    <row r="902">
      <c r="A902" s="13"/>
      <c r="B902" s="13"/>
      <c r="C902" s="13"/>
      <c r="D902" s="13"/>
      <c r="E902" s="13"/>
      <c r="F902" s="13"/>
    </row>
    <row r="903">
      <c r="A903" s="13"/>
      <c r="B903" s="13"/>
      <c r="C903" s="13"/>
      <c r="D903" s="13"/>
      <c r="E903" s="13"/>
      <c r="F903" s="13"/>
    </row>
    <row r="904">
      <c r="A904" s="13"/>
      <c r="B904" s="13"/>
      <c r="C904" s="13"/>
      <c r="D904" s="13"/>
      <c r="E904" s="13"/>
      <c r="F904" s="13"/>
    </row>
    <row r="905">
      <c r="A905" s="13"/>
      <c r="B905" s="13"/>
      <c r="C905" s="13"/>
      <c r="D905" s="13"/>
      <c r="E905" s="13"/>
      <c r="F905" s="13"/>
    </row>
    <row r="906">
      <c r="A906" s="13"/>
      <c r="B906" s="13"/>
      <c r="C906" s="13"/>
      <c r="D906" s="13"/>
      <c r="E906" s="13"/>
      <c r="F906" s="13"/>
    </row>
    <row r="907">
      <c r="A907" s="13"/>
      <c r="B907" s="13"/>
      <c r="C907" s="13"/>
      <c r="D907" s="13"/>
      <c r="E907" s="13"/>
      <c r="F907" s="13"/>
    </row>
    <row r="908">
      <c r="A908" s="13"/>
      <c r="B908" s="13"/>
      <c r="C908" s="13"/>
      <c r="D908" s="13"/>
      <c r="E908" s="13"/>
      <c r="F908" s="13"/>
    </row>
    <row r="909">
      <c r="A909" s="13"/>
      <c r="B909" s="13"/>
      <c r="C909" s="13"/>
      <c r="D909" s="13"/>
      <c r="E909" s="13"/>
      <c r="F909" s="13"/>
    </row>
    <row r="910">
      <c r="A910" s="13"/>
      <c r="B910" s="13"/>
      <c r="C910" s="13"/>
      <c r="D910" s="13"/>
      <c r="E910" s="13"/>
      <c r="F910" s="13"/>
    </row>
    <row r="911">
      <c r="A911" s="13"/>
      <c r="B911" s="13"/>
      <c r="C911" s="13"/>
      <c r="D911" s="13"/>
      <c r="E911" s="13"/>
      <c r="F911" s="13"/>
    </row>
    <row r="912">
      <c r="A912" s="13"/>
      <c r="B912" s="13"/>
      <c r="C912" s="13"/>
      <c r="D912" s="13"/>
      <c r="E912" s="13"/>
      <c r="F912" s="13"/>
    </row>
    <row r="913">
      <c r="A913" s="13"/>
      <c r="B913" s="13"/>
      <c r="C913" s="13"/>
      <c r="D913" s="13"/>
      <c r="E913" s="13"/>
      <c r="F913" s="13"/>
    </row>
    <row r="914">
      <c r="A914" s="13"/>
      <c r="B914" s="13"/>
      <c r="C914" s="13"/>
      <c r="D914" s="13"/>
      <c r="E914" s="13"/>
      <c r="F914" s="13"/>
    </row>
    <row r="915">
      <c r="A915" s="13"/>
      <c r="B915" s="13"/>
      <c r="C915" s="13"/>
      <c r="D915" s="13"/>
      <c r="E915" s="13"/>
      <c r="F915" s="13"/>
    </row>
    <row r="916">
      <c r="A916" s="13"/>
      <c r="B916" s="13"/>
      <c r="C916" s="13"/>
      <c r="D916" s="13"/>
      <c r="E916" s="13"/>
      <c r="F916" s="13"/>
    </row>
    <row r="917">
      <c r="A917" s="13"/>
      <c r="B917" s="13"/>
      <c r="C917" s="13"/>
      <c r="D917" s="13"/>
      <c r="E917" s="13"/>
      <c r="F917" s="13"/>
    </row>
    <row r="918">
      <c r="A918" s="13"/>
      <c r="B918" s="13"/>
      <c r="C918" s="13"/>
      <c r="D918" s="13"/>
      <c r="E918" s="13"/>
      <c r="F918" s="13"/>
    </row>
    <row r="919">
      <c r="A919" s="13"/>
      <c r="B919" s="13"/>
      <c r="C919" s="13"/>
      <c r="D919" s="13"/>
      <c r="E919" s="13"/>
      <c r="F919" s="13"/>
    </row>
    <row r="920">
      <c r="A920" s="13"/>
      <c r="B920" s="13"/>
      <c r="C920" s="13"/>
      <c r="D920" s="13"/>
      <c r="E920" s="13"/>
      <c r="F920" s="13"/>
    </row>
    <row r="921">
      <c r="A921" s="13"/>
      <c r="B921" s="13"/>
      <c r="C921" s="13"/>
      <c r="D921" s="13"/>
      <c r="E921" s="13"/>
      <c r="F921" s="13"/>
    </row>
    <row r="922">
      <c r="A922" s="13"/>
      <c r="B922" s="13"/>
      <c r="C922" s="13"/>
      <c r="D922" s="13"/>
      <c r="E922" s="13"/>
      <c r="F922" s="13"/>
    </row>
    <row r="923">
      <c r="A923" s="13"/>
      <c r="B923" s="13"/>
      <c r="C923" s="13"/>
      <c r="D923" s="13"/>
      <c r="E923" s="13"/>
      <c r="F923" s="13"/>
    </row>
    <row r="924">
      <c r="A924" s="13"/>
      <c r="B924" s="13"/>
      <c r="C924" s="13"/>
      <c r="D924" s="13"/>
      <c r="E924" s="13"/>
      <c r="F924" s="13"/>
    </row>
    <row r="925">
      <c r="A925" s="13"/>
      <c r="B925" s="13"/>
      <c r="C925" s="13"/>
      <c r="D925" s="13"/>
      <c r="E925" s="13"/>
      <c r="F925" s="13"/>
    </row>
    <row r="926">
      <c r="A926" s="13"/>
      <c r="B926" s="13"/>
      <c r="C926" s="13"/>
      <c r="D926" s="13"/>
      <c r="E926" s="13"/>
      <c r="F926" s="13"/>
    </row>
    <row r="927">
      <c r="A927" s="13"/>
      <c r="B927" s="13"/>
      <c r="C927" s="13"/>
      <c r="D927" s="13"/>
      <c r="E927" s="13"/>
      <c r="F927" s="13"/>
    </row>
    <row r="928">
      <c r="A928" s="13"/>
      <c r="B928" s="13"/>
      <c r="C928" s="13"/>
      <c r="D928" s="13"/>
      <c r="E928" s="13"/>
      <c r="F928" s="13"/>
    </row>
    <row r="929">
      <c r="A929" s="13"/>
      <c r="B929" s="13"/>
      <c r="C929" s="13"/>
      <c r="D929" s="13"/>
      <c r="E929" s="13"/>
      <c r="F929" s="13"/>
    </row>
    <row r="930">
      <c r="A930" s="13"/>
      <c r="B930" s="13"/>
      <c r="C930" s="13"/>
      <c r="D930" s="13"/>
      <c r="E930" s="13"/>
      <c r="F930" s="13"/>
    </row>
    <row r="931">
      <c r="A931" s="13"/>
      <c r="B931" s="13"/>
      <c r="C931" s="13"/>
      <c r="D931" s="13"/>
      <c r="E931" s="13"/>
      <c r="F931" s="13"/>
    </row>
    <row r="932">
      <c r="A932" s="13"/>
      <c r="B932" s="13"/>
      <c r="C932" s="13"/>
      <c r="D932" s="13"/>
      <c r="E932" s="13"/>
      <c r="F932" s="13"/>
    </row>
    <row r="933">
      <c r="A933" s="13"/>
      <c r="B933" s="13"/>
      <c r="C933" s="13"/>
      <c r="D933" s="13"/>
      <c r="E933" s="13"/>
      <c r="F933" s="13"/>
    </row>
    <row r="934">
      <c r="A934" s="13"/>
      <c r="B934" s="13"/>
      <c r="C934" s="13"/>
      <c r="D934" s="13"/>
      <c r="E934" s="13"/>
      <c r="F934" s="13"/>
    </row>
    <row r="935">
      <c r="A935" s="13"/>
      <c r="B935" s="13"/>
      <c r="C935" s="13"/>
      <c r="D935" s="13"/>
      <c r="E935" s="13"/>
      <c r="F935" s="13"/>
    </row>
    <row r="936">
      <c r="A936" s="13"/>
      <c r="B936" s="13"/>
      <c r="C936" s="13"/>
      <c r="D936" s="13"/>
      <c r="E936" s="13"/>
      <c r="F936" s="13"/>
    </row>
    <row r="937">
      <c r="A937" s="13"/>
      <c r="B937" s="13"/>
      <c r="C937" s="13"/>
      <c r="D937" s="13"/>
      <c r="E937" s="13"/>
      <c r="F937" s="13"/>
    </row>
    <row r="938">
      <c r="A938" s="13"/>
      <c r="B938" s="13"/>
      <c r="C938" s="13"/>
      <c r="D938" s="13"/>
      <c r="E938" s="13"/>
      <c r="F938" s="13"/>
    </row>
    <row r="939">
      <c r="A939" s="13"/>
      <c r="B939" s="13"/>
      <c r="C939" s="13"/>
      <c r="D939" s="13"/>
      <c r="E939" s="13"/>
      <c r="F939" s="13"/>
    </row>
    <row r="940">
      <c r="A940" s="13"/>
      <c r="B940" s="13"/>
      <c r="C940" s="13"/>
      <c r="D940" s="13"/>
      <c r="E940" s="13"/>
      <c r="F940" s="13"/>
    </row>
    <row r="941">
      <c r="A941" s="13"/>
      <c r="B941" s="13"/>
      <c r="C941" s="13"/>
      <c r="D941" s="13"/>
      <c r="E941" s="13"/>
      <c r="F941" s="13"/>
    </row>
    <row r="942">
      <c r="A942" s="13"/>
      <c r="B942" s="13"/>
      <c r="C942" s="13"/>
      <c r="D942" s="13"/>
      <c r="E942" s="13"/>
      <c r="F942" s="13"/>
    </row>
    <row r="943">
      <c r="A943" s="13"/>
      <c r="B943" s="13"/>
      <c r="C943" s="13"/>
      <c r="D943" s="13"/>
      <c r="E943" s="13"/>
      <c r="F943" s="13"/>
    </row>
    <row r="944">
      <c r="A944" s="13"/>
      <c r="B944" s="13"/>
      <c r="C944" s="13"/>
      <c r="D944" s="13"/>
      <c r="E944" s="13"/>
      <c r="F944" s="13"/>
    </row>
    <row r="945">
      <c r="A945" s="13"/>
      <c r="B945" s="13"/>
      <c r="C945" s="13"/>
      <c r="D945" s="13"/>
      <c r="E945" s="13"/>
      <c r="F945" s="13"/>
    </row>
    <row r="946">
      <c r="A946" s="13"/>
      <c r="B946" s="13"/>
      <c r="C946" s="13"/>
      <c r="D946" s="13"/>
      <c r="E946" s="13"/>
      <c r="F946" s="13"/>
    </row>
    <row r="947">
      <c r="A947" s="13"/>
      <c r="B947" s="13"/>
      <c r="C947" s="13"/>
      <c r="D947" s="13"/>
      <c r="E947" s="13"/>
      <c r="F947" s="13"/>
    </row>
    <row r="948">
      <c r="A948" s="13"/>
      <c r="B948" s="13"/>
      <c r="C948" s="13"/>
      <c r="D948" s="13"/>
      <c r="E948" s="13"/>
      <c r="F948" s="13"/>
    </row>
    <row r="949">
      <c r="A949" s="13"/>
      <c r="B949" s="13"/>
      <c r="C949" s="13"/>
      <c r="D949" s="13"/>
      <c r="E949" s="13"/>
      <c r="F949" s="13"/>
    </row>
    <row r="950">
      <c r="A950" s="13"/>
      <c r="B950" s="13"/>
      <c r="C950" s="13"/>
      <c r="D950" s="13"/>
      <c r="E950" s="13"/>
      <c r="F950" s="13"/>
    </row>
    <row r="951">
      <c r="A951" s="13"/>
      <c r="B951" s="13"/>
      <c r="C951" s="13"/>
      <c r="D951" s="13"/>
      <c r="E951" s="13"/>
      <c r="F951" s="13"/>
    </row>
    <row r="952">
      <c r="A952" s="13"/>
      <c r="B952" s="13"/>
      <c r="C952" s="13"/>
      <c r="D952" s="13"/>
      <c r="E952" s="13"/>
      <c r="F952" s="13"/>
    </row>
    <row r="953">
      <c r="A953" s="13"/>
      <c r="B953" s="13"/>
      <c r="C953" s="13"/>
      <c r="D953" s="13"/>
      <c r="E953" s="13"/>
      <c r="F953" s="13"/>
    </row>
    <row r="954">
      <c r="A954" s="13"/>
      <c r="B954" s="13"/>
      <c r="C954" s="13"/>
      <c r="D954" s="13"/>
      <c r="E954" s="13"/>
      <c r="F954" s="13"/>
    </row>
    <row r="955">
      <c r="A955" s="13"/>
      <c r="B955" s="13"/>
      <c r="C955" s="13"/>
      <c r="D955" s="13"/>
      <c r="E955" s="13"/>
      <c r="F955" s="13"/>
    </row>
    <row r="956">
      <c r="A956" s="13"/>
      <c r="B956" s="13"/>
      <c r="C956" s="13"/>
      <c r="D956" s="13"/>
      <c r="E956" s="13"/>
      <c r="F956" s="13"/>
    </row>
    <row r="957">
      <c r="A957" s="13"/>
      <c r="B957" s="13"/>
      <c r="C957" s="13"/>
      <c r="D957" s="13"/>
      <c r="E957" s="13"/>
      <c r="F957" s="13"/>
    </row>
    <row r="958">
      <c r="A958" s="13"/>
      <c r="B958" s="13"/>
      <c r="C958" s="13"/>
      <c r="D958" s="13"/>
      <c r="E958" s="13"/>
      <c r="F958" s="13"/>
    </row>
    <row r="959">
      <c r="A959" s="13"/>
      <c r="B959" s="13"/>
      <c r="C959" s="13"/>
      <c r="D959" s="13"/>
      <c r="E959" s="13"/>
      <c r="F959" s="13"/>
    </row>
    <row r="960">
      <c r="A960" s="13"/>
      <c r="B960" s="13"/>
      <c r="C960" s="13"/>
      <c r="D960" s="13"/>
      <c r="E960" s="13"/>
      <c r="F960" s="13"/>
    </row>
    <row r="961">
      <c r="A961" s="13"/>
      <c r="B961" s="13"/>
      <c r="C961" s="13"/>
      <c r="D961" s="13"/>
      <c r="E961" s="13"/>
      <c r="F961" s="13"/>
    </row>
    <row r="962">
      <c r="A962" s="13"/>
      <c r="B962" s="13"/>
      <c r="C962" s="13"/>
      <c r="D962" s="13"/>
      <c r="E962" s="13"/>
      <c r="F962" s="13"/>
    </row>
    <row r="963">
      <c r="A963" s="13"/>
      <c r="B963" s="13"/>
      <c r="C963" s="13"/>
      <c r="D963" s="13"/>
      <c r="E963" s="13"/>
      <c r="F963" s="13"/>
    </row>
    <row r="964">
      <c r="A964" s="13"/>
      <c r="B964" s="13"/>
      <c r="C964" s="13"/>
      <c r="D964" s="13"/>
      <c r="E964" s="13"/>
      <c r="F964" s="13"/>
    </row>
    <row r="965">
      <c r="A965" s="13"/>
      <c r="B965" s="13"/>
      <c r="C965" s="13"/>
      <c r="D965" s="13"/>
      <c r="E965" s="13"/>
      <c r="F965" s="13"/>
    </row>
    <row r="966">
      <c r="A966" s="13"/>
      <c r="B966" s="13"/>
      <c r="C966" s="13"/>
      <c r="D966" s="13"/>
      <c r="E966" s="13"/>
      <c r="F966" s="13"/>
    </row>
    <row r="967">
      <c r="A967" s="13"/>
      <c r="B967" s="13"/>
      <c r="C967" s="13"/>
      <c r="D967" s="13"/>
      <c r="E967" s="13"/>
      <c r="F967" s="13"/>
    </row>
    <row r="968">
      <c r="A968" s="13"/>
      <c r="B968" s="13"/>
      <c r="C968" s="13"/>
      <c r="D968" s="13"/>
      <c r="E968" s="13"/>
      <c r="F968" s="13"/>
    </row>
    <row r="969">
      <c r="A969" s="13"/>
      <c r="B969" s="13"/>
      <c r="C969" s="13"/>
      <c r="D969" s="13"/>
      <c r="E969" s="13"/>
      <c r="F969" s="13"/>
    </row>
    <row r="970">
      <c r="A970" s="13"/>
      <c r="B970" s="13"/>
      <c r="C970" s="13"/>
      <c r="D970" s="13"/>
      <c r="E970" s="13"/>
      <c r="F970" s="13"/>
    </row>
    <row r="971">
      <c r="A971" s="13"/>
      <c r="B971" s="13"/>
      <c r="C971" s="13"/>
      <c r="D971" s="13"/>
      <c r="E971" s="13"/>
      <c r="F971" s="13"/>
    </row>
    <row r="972">
      <c r="A972" s="13"/>
      <c r="B972" s="13"/>
      <c r="C972" s="13"/>
      <c r="D972" s="13"/>
      <c r="E972" s="13"/>
      <c r="F972" s="13"/>
    </row>
    <row r="973">
      <c r="A973" s="13"/>
      <c r="B973" s="13"/>
      <c r="C973" s="13"/>
      <c r="D973" s="13"/>
      <c r="E973" s="13"/>
      <c r="F973" s="13"/>
    </row>
    <row r="974">
      <c r="A974" s="13"/>
      <c r="B974" s="13"/>
      <c r="C974" s="13"/>
      <c r="D974" s="13"/>
      <c r="E974" s="13"/>
      <c r="F974" s="13"/>
    </row>
    <row r="975">
      <c r="A975" s="13"/>
      <c r="B975" s="13"/>
      <c r="C975" s="13"/>
      <c r="D975" s="13"/>
      <c r="E975" s="13"/>
      <c r="F975" s="13"/>
    </row>
    <row r="976">
      <c r="A976" s="13"/>
      <c r="B976" s="13"/>
      <c r="C976" s="13"/>
      <c r="D976" s="13"/>
      <c r="E976" s="13"/>
      <c r="F976" s="13"/>
    </row>
    <row r="977">
      <c r="A977" s="13"/>
      <c r="B977" s="13"/>
      <c r="C977" s="13"/>
      <c r="D977" s="13"/>
      <c r="E977" s="13"/>
      <c r="F977" s="13"/>
    </row>
    <row r="978">
      <c r="A978" s="13"/>
      <c r="B978" s="13"/>
      <c r="C978" s="13"/>
      <c r="D978" s="13"/>
      <c r="E978" s="13"/>
      <c r="F978" s="13"/>
    </row>
    <row r="979">
      <c r="A979" s="13"/>
      <c r="B979" s="13"/>
      <c r="C979" s="13"/>
      <c r="D979" s="13"/>
      <c r="E979" s="13"/>
      <c r="F979" s="13"/>
    </row>
    <row r="980">
      <c r="A980" s="13"/>
      <c r="B980" s="13"/>
      <c r="C980" s="13"/>
      <c r="D980" s="13"/>
      <c r="E980" s="13"/>
      <c r="F980" s="13"/>
    </row>
    <row r="981">
      <c r="A981" s="13"/>
      <c r="B981" s="13"/>
      <c r="C981" s="13"/>
      <c r="D981" s="13"/>
      <c r="E981" s="13"/>
      <c r="F981" s="13"/>
    </row>
    <row r="982">
      <c r="A982" s="13"/>
      <c r="B982" s="13"/>
      <c r="C982" s="13"/>
      <c r="D982" s="13"/>
      <c r="E982" s="13"/>
      <c r="F982" s="13"/>
    </row>
    <row r="983">
      <c r="A983" s="13"/>
      <c r="B983" s="13"/>
      <c r="C983" s="13"/>
      <c r="D983" s="13"/>
      <c r="E983" s="13"/>
      <c r="F983" s="13"/>
    </row>
    <row r="984">
      <c r="A984" s="13"/>
      <c r="B984" s="13"/>
      <c r="C984" s="13"/>
      <c r="D984" s="13"/>
      <c r="E984" s="13"/>
      <c r="F984" s="13"/>
    </row>
    <row r="985">
      <c r="A985" s="13"/>
      <c r="B985" s="13"/>
      <c r="C985" s="13"/>
      <c r="D985" s="13"/>
      <c r="E985" s="13"/>
      <c r="F985" s="13"/>
    </row>
    <row r="986">
      <c r="A986" s="13"/>
      <c r="B986" s="13"/>
      <c r="C986" s="13"/>
      <c r="D986" s="13"/>
      <c r="E986" s="13"/>
      <c r="F986" s="13"/>
    </row>
    <row r="987">
      <c r="A987" s="13"/>
      <c r="B987" s="13"/>
      <c r="C987" s="13"/>
      <c r="D987" s="13"/>
      <c r="E987" s="13"/>
      <c r="F987" s="13"/>
    </row>
    <row r="988">
      <c r="A988" s="13"/>
      <c r="B988" s="13"/>
      <c r="C988" s="13"/>
      <c r="D988" s="13"/>
      <c r="E988" s="13"/>
      <c r="F988" s="13"/>
    </row>
    <row r="989">
      <c r="A989" s="13"/>
      <c r="B989" s="13"/>
      <c r="C989" s="13"/>
      <c r="D989" s="13"/>
      <c r="E989" s="13"/>
      <c r="F989" s="13"/>
    </row>
    <row r="990">
      <c r="A990" s="13"/>
      <c r="B990" s="13"/>
      <c r="C990" s="13"/>
      <c r="D990" s="13"/>
      <c r="E990" s="13"/>
      <c r="F990" s="13"/>
    </row>
    <row r="991">
      <c r="A991" s="13"/>
      <c r="B991" s="13"/>
      <c r="C991" s="13"/>
      <c r="D991" s="13"/>
      <c r="E991" s="13"/>
      <c r="F991" s="13"/>
    </row>
    <row r="992">
      <c r="A992" s="13"/>
      <c r="B992" s="13"/>
      <c r="C992" s="13"/>
      <c r="D992" s="13"/>
      <c r="E992" s="13"/>
      <c r="F992" s="13"/>
    </row>
    <row r="993">
      <c r="A993" s="13"/>
      <c r="B993" s="13"/>
      <c r="C993" s="13"/>
      <c r="D993" s="13"/>
      <c r="E993" s="13"/>
      <c r="F993" s="13"/>
    </row>
    <row r="994">
      <c r="A994" s="13"/>
      <c r="B994" s="13"/>
      <c r="C994" s="13"/>
      <c r="D994" s="13"/>
      <c r="E994" s="13"/>
      <c r="F994" s="13"/>
    </row>
    <row r="995">
      <c r="A995" s="13"/>
      <c r="B995" s="13"/>
      <c r="C995" s="13"/>
      <c r="D995" s="13"/>
      <c r="E995" s="13"/>
      <c r="F995" s="13"/>
    </row>
    <row r="996">
      <c r="A996" s="13"/>
      <c r="B996" s="13"/>
      <c r="C996" s="13"/>
      <c r="D996" s="13"/>
      <c r="E996" s="13"/>
      <c r="F996" s="13"/>
    </row>
    <row r="997">
      <c r="A997" s="13"/>
      <c r="B997" s="13"/>
      <c r="C997" s="13"/>
      <c r="D997" s="13"/>
      <c r="E997" s="13"/>
      <c r="F997" s="13"/>
    </row>
    <row r="998">
      <c r="A998" s="13"/>
      <c r="B998" s="13"/>
      <c r="C998" s="13"/>
      <c r="D998" s="13"/>
      <c r="E998" s="13"/>
      <c r="F998" s="13"/>
    </row>
    <row r="999">
      <c r="A999" s="13"/>
      <c r="B999" s="13"/>
      <c r="C999" s="13"/>
      <c r="D999" s="13"/>
      <c r="E999" s="13"/>
      <c r="F999" s="13"/>
    </row>
    <row r="1000">
      <c r="A1000" s="13"/>
      <c r="B1000" s="13"/>
      <c r="C1000" s="13"/>
      <c r="D1000" s="13"/>
      <c r="E1000" s="13"/>
      <c r="F1000" s="13"/>
    </row>
    <row r="1001">
      <c r="A1001" s="13"/>
      <c r="B1001" s="13"/>
      <c r="C1001" s="13"/>
      <c r="D1001" s="13"/>
      <c r="E1001" s="13"/>
      <c r="F1001" s="13"/>
    </row>
    <row r="1002">
      <c r="A1002" s="13"/>
      <c r="B1002" s="13"/>
      <c r="C1002" s="13"/>
      <c r="D1002" s="13"/>
      <c r="E1002" s="13"/>
      <c r="F1002" s="13"/>
    </row>
    <row r="1003">
      <c r="A1003" s="13"/>
      <c r="B1003" s="13"/>
      <c r="C1003" s="13"/>
      <c r="D1003" s="13"/>
      <c r="E1003" s="13"/>
      <c r="F1003" s="13"/>
    </row>
  </sheetData>
  <autoFilter ref="$A$1:$F$1003"/>
  <conditionalFormatting sqref="B63">
    <cfRule type="containsText" dxfId="0" priority="1" operator="containsText" text="Si">
      <formula>NOT(ISERROR(SEARCH(("Si"),(B63))))</formula>
    </cfRule>
  </conditionalFormatting>
  <conditionalFormatting sqref="B63">
    <cfRule type="containsText" dxfId="1" priority="2" operator="containsText" text="PENDIENTE">
      <formula>NOT(ISERROR(SEARCH(("PENDIENTE"),(B63))))</formula>
    </cfRule>
  </conditionalFormatting>
  <conditionalFormatting sqref="F2:F87">
    <cfRule type="containsText" dxfId="0" priority="3" operator="containsText" text="Instalacion lista">
      <formula>NOT(ISERROR(SEARCH(("Instalacion lista"),(F2))))</formula>
    </cfRule>
  </conditionalFormatting>
  <conditionalFormatting sqref="F2:F87">
    <cfRule type="containsText" dxfId="2" priority="4" operator="containsText" text="Pendiente instalacion">
      <formula>NOT(ISERROR(SEARCH(("Pendiente instalacion"),(F2))))</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3" max="3" width="9.13"/>
    <col customWidth="1" min="4" max="4" width="8.88"/>
    <col customWidth="1" min="5" max="5" width="15.38"/>
    <col customWidth="1" min="6" max="6" width="12.63"/>
    <col customWidth="1" min="7" max="7" width="24.88"/>
    <col customWidth="1" min="8" max="9" width="16.75"/>
    <col customWidth="1" min="10" max="10" width="16.0"/>
    <col customWidth="1" min="11" max="11" width="15.5"/>
    <col customWidth="1" min="12" max="13" width="13.88"/>
    <col customWidth="1" min="14" max="14" width="25.75"/>
  </cols>
  <sheetData>
    <row r="1" ht="23.25" customHeight="1">
      <c r="A1" s="14" t="s">
        <v>0</v>
      </c>
      <c r="B1" s="14" t="s">
        <v>114</v>
      </c>
      <c r="C1" s="15" t="s">
        <v>2</v>
      </c>
      <c r="D1" s="15" t="s">
        <v>115</v>
      </c>
      <c r="E1" s="15" t="s">
        <v>116</v>
      </c>
      <c r="F1" s="15" t="s">
        <v>117</v>
      </c>
      <c r="G1" s="15" t="s">
        <v>118</v>
      </c>
      <c r="H1" s="15" t="s">
        <v>119</v>
      </c>
      <c r="I1" s="15" t="s">
        <v>120</v>
      </c>
      <c r="J1" s="15" t="s">
        <v>121</v>
      </c>
      <c r="K1" s="15" t="s">
        <v>122</v>
      </c>
      <c r="L1" s="16" t="s">
        <v>123</v>
      </c>
      <c r="M1" s="16" t="s">
        <v>124</v>
      </c>
    </row>
    <row r="2" ht="24.0" customHeight="1">
      <c r="A2" s="17" t="s">
        <v>125</v>
      </c>
      <c r="B2" s="18" t="s">
        <v>8</v>
      </c>
      <c r="C2" s="19" t="str">
        <f t="shared" ref="C2:C74" si="1">RIGHT(B2,6)</f>
        <v>HZRX80</v>
      </c>
      <c r="D2" s="19" t="s">
        <v>126</v>
      </c>
      <c r="E2" s="20" t="str">
        <f>VLOOKUP(C2,Telemetria!C$1:E$99,2,0)</f>
        <v>Instalacion Lista </v>
      </c>
      <c r="F2" s="19" t="s">
        <v>127</v>
      </c>
      <c r="G2" s="20" t="str">
        <f>VLOOKUP(C2,'Hoja 27'!C$1:E$63,3,0)</f>
        <v>Si cuenta con RS</v>
      </c>
      <c r="H2" s="17" t="str">
        <f t="shared" ref="H2:H71" si="2">VLOOKUP(C2,'Hoja 33'!B$2:E$67,1,0)</f>
        <v>#REF!</v>
      </c>
      <c r="I2" s="21" t="s">
        <v>128</v>
      </c>
      <c r="J2" s="21" t="s">
        <v>128</v>
      </c>
      <c r="K2" s="21" t="s">
        <v>128</v>
      </c>
      <c r="L2" s="17"/>
      <c r="M2" s="17" t="s">
        <v>129</v>
      </c>
      <c r="N2" s="22"/>
    </row>
    <row r="3">
      <c r="A3" s="17" t="s">
        <v>125</v>
      </c>
      <c r="B3" s="18" t="s">
        <v>10</v>
      </c>
      <c r="C3" s="19" t="str">
        <f t="shared" si="1"/>
        <v>KCHJ51</v>
      </c>
      <c r="D3" s="19" t="s">
        <v>126</v>
      </c>
      <c r="E3" s="20" t="str">
        <f>VLOOKUP(C3,Telemetria!C$1:E$99,2,0)</f>
        <v>Instalacion Lista </v>
      </c>
      <c r="F3" s="19" t="s">
        <v>127</v>
      </c>
      <c r="G3" s="20" t="str">
        <f>VLOOKUP(C3,'Hoja 27'!C$1:E$63,3,0)</f>
        <v>Si cuenta con RS</v>
      </c>
      <c r="H3" s="17" t="str">
        <f t="shared" si="2"/>
        <v>#REF!</v>
      </c>
      <c r="I3" s="21" t="s">
        <v>128</v>
      </c>
      <c r="J3" s="21" t="s">
        <v>128</v>
      </c>
      <c r="K3" s="21" t="s">
        <v>128</v>
      </c>
      <c r="L3" s="17"/>
      <c r="M3" s="17" t="s">
        <v>129</v>
      </c>
      <c r="N3" s="22"/>
    </row>
    <row r="4">
      <c r="A4" s="17" t="s">
        <v>125</v>
      </c>
      <c r="B4" s="18" t="s">
        <v>13</v>
      </c>
      <c r="C4" s="19" t="str">
        <f t="shared" si="1"/>
        <v>KKJZ64</v>
      </c>
      <c r="D4" s="19" t="s">
        <v>126</v>
      </c>
      <c r="E4" s="20" t="str">
        <f>VLOOKUP(C4,Telemetria!C$1:E$99,2,0)</f>
        <v>Instalacion Lista </v>
      </c>
      <c r="F4" s="19" t="s">
        <v>127</v>
      </c>
      <c r="G4" s="20" t="str">
        <f>VLOOKUP(C4,'Hoja 27'!C$1:E$63,3,0)</f>
        <v>Si cuenta con RS</v>
      </c>
      <c r="H4" s="17" t="str">
        <f t="shared" si="2"/>
        <v>#REF!</v>
      </c>
      <c r="I4" s="21" t="s">
        <v>128</v>
      </c>
      <c r="J4" s="21" t="s">
        <v>128</v>
      </c>
      <c r="K4" s="21" t="s">
        <v>128</v>
      </c>
      <c r="L4" s="17"/>
      <c r="M4" s="17" t="s">
        <v>129</v>
      </c>
      <c r="N4" s="22"/>
    </row>
    <row r="5">
      <c r="A5" s="17" t="s">
        <v>125</v>
      </c>
      <c r="B5" s="18" t="s">
        <v>17</v>
      </c>
      <c r="C5" s="19" t="str">
        <f t="shared" si="1"/>
        <v>KYSJ80</v>
      </c>
      <c r="D5" s="19" t="s">
        <v>126</v>
      </c>
      <c r="E5" s="20" t="str">
        <f>VLOOKUP(C5,Telemetria!C$1:E$99,2,0)</f>
        <v>Instalacion Lista </v>
      </c>
      <c r="F5" s="19" t="s">
        <v>127</v>
      </c>
      <c r="G5" s="20" t="str">
        <f>VLOOKUP(C5,'Hoja 27'!C$1:E$63,3,0)</f>
        <v>Si cuenta con RS</v>
      </c>
      <c r="H5" s="17" t="str">
        <f t="shared" si="2"/>
        <v>#REF!</v>
      </c>
      <c r="I5" s="21" t="s">
        <v>128</v>
      </c>
      <c r="J5" s="21" t="s">
        <v>128</v>
      </c>
      <c r="K5" s="21" t="s">
        <v>128</v>
      </c>
      <c r="L5" s="17"/>
      <c r="M5" s="17" t="s">
        <v>129</v>
      </c>
      <c r="N5" s="22"/>
    </row>
    <row r="6">
      <c r="A6" s="17" t="s">
        <v>125</v>
      </c>
      <c r="B6" s="18" t="s">
        <v>18</v>
      </c>
      <c r="C6" s="19" t="str">
        <f t="shared" si="1"/>
        <v>KZZY17</v>
      </c>
      <c r="D6" s="19" t="s">
        <v>126</v>
      </c>
      <c r="E6" s="20" t="str">
        <f>VLOOKUP(C6,Telemetria!C$1:E$99,2,0)</f>
        <v>Instalacion Lista </v>
      </c>
      <c r="F6" s="19" t="s">
        <v>127</v>
      </c>
      <c r="G6" s="20" t="str">
        <f>VLOOKUP(C6,'Hoja 27'!C$1:E$63,3,0)</f>
        <v>Si cuenta con RS</v>
      </c>
      <c r="H6" s="17" t="str">
        <f t="shared" si="2"/>
        <v>#REF!</v>
      </c>
      <c r="I6" s="21" t="s">
        <v>128</v>
      </c>
      <c r="J6" s="21" t="s">
        <v>128</v>
      </c>
      <c r="K6" s="21" t="s">
        <v>128</v>
      </c>
      <c r="L6" s="17"/>
      <c r="M6" s="17" t="s">
        <v>129</v>
      </c>
      <c r="N6" s="22"/>
    </row>
    <row r="7">
      <c r="A7" s="17" t="s">
        <v>125</v>
      </c>
      <c r="B7" s="18" t="s">
        <v>21</v>
      </c>
      <c r="C7" s="19" t="str">
        <f t="shared" si="1"/>
        <v>LHVR22</v>
      </c>
      <c r="D7" s="19" t="s">
        <v>126</v>
      </c>
      <c r="E7" s="20" t="str">
        <f>VLOOKUP(C7,Telemetria!C$1:E$99,2,0)</f>
        <v>Instalacion Lista </v>
      </c>
      <c r="F7" s="19" t="s">
        <v>127</v>
      </c>
      <c r="G7" s="20" t="str">
        <f>VLOOKUP(C7,'Hoja 27'!C$1:E$63,3,0)</f>
        <v>Si cuenta con RS</v>
      </c>
      <c r="H7" s="17" t="str">
        <f t="shared" si="2"/>
        <v>#REF!</v>
      </c>
      <c r="I7" s="23" t="s">
        <v>130</v>
      </c>
      <c r="J7" s="23" t="s">
        <v>130</v>
      </c>
      <c r="K7" s="23" t="s">
        <v>130</v>
      </c>
      <c r="L7" s="17"/>
      <c r="M7" s="17" t="s">
        <v>129</v>
      </c>
      <c r="N7" s="24" t="s">
        <v>131</v>
      </c>
    </row>
    <row r="8">
      <c r="A8" s="17" t="s">
        <v>125</v>
      </c>
      <c r="B8" s="18" t="s">
        <v>19</v>
      </c>
      <c r="C8" s="19" t="str">
        <f t="shared" si="1"/>
        <v>PGJL89</v>
      </c>
      <c r="D8" s="19" t="s">
        <v>126</v>
      </c>
      <c r="E8" s="20" t="str">
        <f>VLOOKUP(C8,Telemetria!C$1:E$99,2,0)</f>
        <v>Instalacion Lista </v>
      </c>
      <c r="F8" s="19" t="s">
        <v>127</v>
      </c>
      <c r="G8" s="20" t="str">
        <f>VLOOKUP(C8,'Hoja 27'!C$1:E$63,3,0)</f>
        <v>Si cuenta con RS</v>
      </c>
      <c r="H8" s="17" t="str">
        <f t="shared" si="2"/>
        <v>#REF!</v>
      </c>
      <c r="I8" s="21" t="s">
        <v>128</v>
      </c>
      <c r="J8" s="21" t="s">
        <v>128</v>
      </c>
      <c r="K8" s="21" t="s">
        <v>128</v>
      </c>
      <c r="L8" s="17"/>
      <c r="M8" s="17" t="s">
        <v>129</v>
      </c>
      <c r="N8" s="24" t="s">
        <v>132</v>
      </c>
    </row>
    <row r="9">
      <c r="A9" s="17" t="s">
        <v>125</v>
      </c>
      <c r="B9" s="18" t="s">
        <v>23</v>
      </c>
      <c r="C9" s="19" t="str">
        <f t="shared" si="1"/>
        <v>RXTL44</v>
      </c>
      <c r="D9" s="19" t="s">
        <v>126</v>
      </c>
      <c r="E9" s="20" t="str">
        <f>VLOOKUP(C9,Telemetria!C$1:E$99,2,0)</f>
        <v>Instalacion Lista </v>
      </c>
      <c r="F9" s="19" t="s">
        <v>127</v>
      </c>
      <c r="G9" s="20" t="str">
        <f>VLOOKUP(C9,'Hoja 27'!C$1:E$63,3,0)</f>
        <v>Si cuenta con RS</v>
      </c>
      <c r="H9" s="17" t="str">
        <f t="shared" si="2"/>
        <v>#REF!</v>
      </c>
      <c r="I9" s="21" t="s">
        <v>128</v>
      </c>
      <c r="J9" s="21" t="s">
        <v>128</v>
      </c>
      <c r="K9" s="21" t="s">
        <v>128</v>
      </c>
      <c r="L9" s="17"/>
      <c r="M9" s="17" t="s">
        <v>129</v>
      </c>
      <c r="N9" s="22"/>
    </row>
    <row r="10">
      <c r="A10" s="17" t="s">
        <v>125</v>
      </c>
      <c r="B10" s="18" t="s">
        <v>24</v>
      </c>
      <c r="C10" s="19" t="str">
        <f t="shared" si="1"/>
        <v>RYJR47</v>
      </c>
      <c r="D10" s="19" t="s">
        <v>126</v>
      </c>
      <c r="E10" s="20" t="str">
        <f>VLOOKUP(C10,Telemetria!C$1:E$99,2,0)</f>
        <v>Instalacion Lista </v>
      </c>
      <c r="F10" s="19" t="s">
        <v>127</v>
      </c>
      <c r="G10" s="20" t="str">
        <f>VLOOKUP(C10,'Hoja 27'!C$1:E$63,3,0)</f>
        <v>Si cuenta con RS</v>
      </c>
      <c r="H10" s="17" t="str">
        <f t="shared" si="2"/>
        <v>#REF!</v>
      </c>
      <c r="I10" s="21" t="s">
        <v>128</v>
      </c>
      <c r="J10" s="21" t="s">
        <v>128</v>
      </c>
      <c r="K10" s="21" t="s">
        <v>128</v>
      </c>
      <c r="L10" s="17"/>
      <c r="M10" s="17" t="s">
        <v>129</v>
      </c>
      <c r="N10" s="24" t="s">
        <v>133</v>
      </c>
    </row>
    <row r="11">
      <c r="A11" s="17" t="s">
        <v>125</v>
      </c>
      <c r="B11" s="18" t="s">
        <v>25</v>
      </c>
      <c r="C11" s="19" t="str">
        <f t="shared" si="1"/>
        <v>TKWX57</v>
      </c>
      <c r="D11" s="19" t="s">
        <v>126</v>
      </c>
      <c r="E11" s="20" t="str">
        <f>VLOOKUP(C11,Telemetria!C$1:E$99,2,0)</f>
        <v>Instalacion Lista </v>
      </c>
      <c r="F11" s="19" t="s">
        <v>127</v>
      </c>
      <c r="G11" s="20" t="str">
        <f>VLOOKUP(C11,'Hoja 27'!C$1:E$63,3,0)</f>
        <v>No se encuentra resolución sanitaria</v>
      </c>
      <c r="H11" s="17" t="str">
        <f t="shared" si="2"/>
        <v>#REF!</v>
      </c>
      <c r="I11" s="21" t="s">
        <v>128</v>
      </c>
      <c r="J11" s="21" t="s">
        <v>128</v>
      </c>
      <c r="K11" s="21" t="s">
        <v>128</v>
      </c>
      <c r="L11" s="17"/>
      <c r="M11" s="17" t="s">
        <v>129</v>
      </c>
      <c r="N11" s="22"/>
    </row>
    <row r="12">
      <c r="A12" s="17" t="s">
        <v>125</v>
      </c>
      <c r="B12" s="18" t="s">
        <v>26</v>
      </c>
      <c r="C12" s="19" t="str">
        <f t="shared" si="1"/>
        <v>TRYL82</v>
      </c>
      <c r="D12" s="19" t="s">
        <v>126</v>
      </c>
      <c r="E12" s="20" t="str">
        <f>VLOOKUP(C12,Telemetria!C$1:E$99,2,0)</f>
        <v>Instalacion Lista </v>
      </c>
      <c r="F12" s="19" t="s">
        <v>127</v>
      </c>
      <c r="G12" s="20" t="str">
        <f>VLOOKUP(C12,'Hoja 27'!C$1:E$63,3,0)</f>
        <v>No se encuentra documentación</v>
      </c>
      <c r="H12" s="17" t="str">
        <f t="shared" si="2"/>
        <v>#REF!</v>
      </c>
      <c r="I12" s="21" t="s">
        <v>128</v>
      </c>
      <c r="J12" s="21" t="s">
        <v>128</v>
      </c>
      <c r="K12" s="21" t="s">
        <v>128</v>
      </c>
      <c r="L12" s="17"/>
      <c r="M12" s="17" t="s">
        <v>129</v>
      </c>
      <c r="N12" s="22"/>
    </row>
    <row r="13">
      <c r="A13" s="17" t="s">
        <v>125</v>
      </c>
      <c r="B13" s="18" t="s">
        <v>28</v>
      </c>
      <c r="C13" s="19" t="str">
        <f t="shared" si="1"/>
        <v>TSCT51</v>
      </c>
      <c r="D13" s="19" t="s">
        <v>126</v>
      </c>
      <c r="E13" s="20" t="str">
        <f>VLOOKUP(C13,Telemetria!C$1:E$99,2,0)</f>
        <v>Instalacion Lista </v>
      </c>
      <c r="F13" s="19" t="s">
        <v>127</v>
      </c>
      <c r="G13" s="20" t="str">
        <f>VLOOKUP(C13,'Hoja 27'!C$1:E$63,3,0)</f>
        <v>No se encuentra documentación</v>
      </c>
      <c r="H13" s="17" t="str">
        <f t="shared" si="2"/>
        <v>#REF!</v>
      </c>
      <c r="I13" s="21" t="s">
        <v>128</v>
      </c>
      <c r="J13" s="21" t="s">
        <v>128</v>
      </c>
      <c r="K13" s="21" t="s">
        <v>128</v>
      </c>
      <c r="L13" s="17"/>
      <c r="M13" s="17" t="s">
        <v>129</v>
      </c>
    </row>
    <row r="14">
      <c r="A14" s="17" t="s">
        <v>125</v>
      </c>
      <c r="B14" s="18" t="s">
        <v>30</v>
      </c>
      <c r="C14" s="19" t="str">
        <f t="shared" si="1"/>
        <v>TZCH26</v>
      </c>
      <c r="D14" s="19" t="s">
        <v>126</v>
      </c>
      <c r="E14" s="20" t="str">
        <f>VLOOKUP(C14,Telemetria!C$1:E$99,2,0)</f>
        <v>Instalacion Lista </v>
      </c>
      <c r="F14" s="19" t="s">
        <v>127</v>
      </c>
      <c r="G14" s="20" t="str">
        <f>VLOOKUP(C14,'Hoja 27'!C$1:E$63,3,0)</f>
        <v>Si cuenta con RS</v>
      </c>
      <c r="H14" s="17" t="str">
        <f t="shared" si="2"/>
        <v>#REF!</v>
      </c>
      <c r="I14" s="21" t="s">
        <v>128</v>
      </c>
      <c r="J14" s="21" t="s">
        <v>128</v>
      </c>
      <c r="K14" s="21" t="s">
        <v>128</v>
      </c>
      <c r="L14" s="17"/>
      <c r="M14" s="17" t="s">
        <v>129</v>
      </c>
    </row>
    <row r="15">
      <c r="A15" s="17" t="s">
        <v>134</v>
      </c>
      <c r="B15" s="18" t="s">
        <v>31</v>
      </c>
      <c r="C15" s="19" t="str">
        <f t="shared" si="1"/>
        <v>CJJY36</v>
      </c>
      <c r="D15" s="19" t="s">
        <v>126</v>
      </c>
      <c r="E15" s="20" t="str">
        <f>VLOOKUP(C15,Telemetria!C$1:E$99,2,0)</f>
        <v>Instalacion Lista </v>
      </c>
      <c r="F15" s="19" t="s">
        <v>127</v>
      </c>
      <c r="G15" s="20" t="str">
        <f>VLOOKUP(C15,'Hoja 27'!C$1:E$63,3,0)</f>
        <v>Si cuenta con RS</v>
      </c>
      <c r="H15" s="17" t="str">
        <f t="shared" si="2"/>
        <v>#REF!</v>
      </c>
      <c r="I15" s="23" t="s">
        <v>130</v>
      </c>
      <c r="J15" s="23" t="s">
        <v>130</v>
      </c>
      <c r="K15" s="23" t="s">
        <v>130</v>
      </c>
      <c r="L15" s="17"/>
      <c r="M15" s="17" t="s">
        <v>129</v>
      </c>
    </row>
    <row r="16">
      <c r="A16" s="17" t="s">
        <v>134</v>
      </c>
      <c r="B16" s="18" t="s">
        <v>135</v>
      </c>
      <c r="C16" s="19" t="str">
        <f t="shared" si="1"/>
        <v>PSLP82</v>
      </c>
      <c r="D16" s="19" t="s">
        <v>126</v>
      </c>
      <c r="E16" s="20" t="str">
        <f>VLOOKUP(C16,Telemetria!C$1:E$99,2,0)</f>
        <v>Instalacion Lista </v>
      </c>
      <c r="F16" s="19" t="s">
        <v>127</v>
      </c>
      <c r="G16" s="20" t="str">
        <f>VLOOKUP(C16,'Hoja 27'!C$1:E$63,3,0)</f>
        <v>No se encuentra resolución sanitaria</v>
      </c>
      <c r="H16" s="17" t="str">
        <f t="shared" si="2"/>
        <v>#REF!</v>
      </c>
      <c r="I16" s="21" t="s">
        <v>128</v>
      </c>
      <c r="J16" s="21" t="s">
        <v>128</v>
      </c>
      <c r="K16" s="21" t="s">
        <v>129</v>
      </c>
      <c r="L16" s="17"/>
      <c r="M16" s="17" t="s">
        <v>129</v>
      </c>
    </row>
    <row r="17">
      <c r="A17" s="17" t="s">
        <v>134</v>
      </c>
      <c r="B17" s="18" t="s">
        <v>37</v>
      </c>
      <c r="C17" s="19" t="str">
        <f t="shared" si="1"/>
        <v>PTGD93</v>
      </c>
      <c r="D17" s="19" t="s">
        <v>126</v>
      </c>
      <c r="E17" s="20" t="str">
        <f>VLOOKUP(C17,Telemetria!C$1:E$99,2,0)</f>
        <v>Instalacion Lista </v>
      </c>
      <c r="F17" s="19" t="s">
        <v>127</v>
      </c>
      <c r="G17" s="20" t="str">
        <f>VLOOKUP(C17,'Hoja 27'!C$1:E$63,3,0)</f>
        <v>Si cuenta con RS</v>
      </c>
      <c r="H17" s="17" t="str">
        <f t="shared" si="2"/>
        <v>#REF!</v>
      </c>
      <c r="I17" s="21" t="s">
        <v>128</v>
      </c>
      <c r="J17" s="21" t="s">
        <v>128</v>
      </c>
      <c r="K17" s="21" t="s">
        <v>128</v>
      </c>
      <c r="L17" s="17"/>
      <c r="M17" s="17" t="s">
        <v>129</v>
      </c>
    </row>
    <row r="18">
      <c r="A18" s="17" t="s">
        <v>134</v>
      </c>
      <c r="B18" s="18" t="s">
        <v>36</v>
      </c>
      <c r="C18" s="19" t="str">
        <f t="shared" si="1"/>
        <v>RHWY99</v>
      </c>
      <c r="D18" s="19" t="s">
        <v>136</v>
      </c>
      <c r="E18" s="20" t="str">
        <f>VLOOKUP(C18,Telemetria!C$1:E$99,2,0)</f>
        <v>Instalacion Lista </v>
      </c>
      <c r="F18" s="19" t="s">
        <v>127</v>
      </c>
      <c r="G18" s="20" t="str">
        <f>VLOOKUP(C18,'Hoja 27'!C$1:E$63,3,0)</f>
        <v>Si cuenta con RS</v>
      </c>
      <c r="H18" s="17" t="str">
        <f t="shared" si="2"/>
        <v>#REF!</v>
      </c>
      <c r="I18" s="21" t="s">
        <v>129</v>
      </c>
      <c r="J18" s="21" t="s">
        <v>128</v>
      </c>
      <c r="K18" s="21" t="s">
        <v>128</v>
      </c>
      <c r="L18" s="17"/>
      <c r="M18" s="17" t="s">
        <v>129</v>
      </c>
    </row>
    <row r="19">
      <c r="A19" s="17" t="s">
        <v>134</v>
      </c>
      <c r="B19" s="18" t="s">
        <v>43</v>
      </c>
      <c r="C19" s="19" t="str">
        <f t="shared" si="1"/>
        <v>RVPT55</v>
      </c>
      <c r="D19" s="19" t="s">
        <v>137</v>
      </c>
      <c r="E19" s="20" t="str">
        <f>VLOOKUP(C19,Telemetria!C$1:E$99,2,0)</f>
        <v>Pendiente Instalacion</v>
      </c>
      <c r="F19" s="19" t="s">
        <v>127</v>
      </c>
      <c r="G19" s="20" t="str">
        <f>VLOOKUP(C19,'Hoja 27'!C$1:E$63,3,0)</f>
        <v>Si cuenta con RS</v>
      </c>
      <c r="H19" s="17" t="str">
        <f t="shared" si="2"/>
        <v>#REF!</v>
      </c>
      <c r="I19" s="21" t="s">
        <v>128</v>
      </c>
      <c r="J19" s="21" t="s">
        <v>128</v>
      </c>
      <c r="K19" s="21" t="s">
        <v>128</v>
      </c>
      <c r="L19" s="17"/>
      <c r="M19" s="17" t="s">
        <v>129</v>
      </c>
      <c r="N19" s="24" t="s">
        <v>132</v>
      </c>
    </row>
    <row r="20">
      <c r="A20" s="17" t="s">
        <v>134</v>
      </c>
      <c r="B20" s="18" t="s">
        <v>39</v>
      </c>
      <c r="C20" s="19" t="str">
        <f t="shared" si="1"/>
        <v>SBTV68</v>
      </c>
      <c r="D20" s="19" t="s">
        <v>126</v>
      </c>
      <c r="E20" s="20" t="str">
        <f>VLOOKUP(C20,Telemetria!C$1:E$99,2,0)</f>
        <v>Instalacion Lista </v>
      </c>
      <c r="F20" s="19" t="s">
        <v>127</v>
      </c>
      <c r="G20" s="20" t="str">
        <f>VLOOKUP(C20,'Hoja 27'!C$1:E$63,3,0)</f>
        <v>Si cuenta con RS</v>
      </c>
      <c r="H20" s="17" t="str">
        <f t="shared" si="2"/>
        <v>#REF!</v>
      </c>
      <c r="I20" s="21" t="s">
        <v>128</v>
      </c>
      <c r="J20" s="21" t="s">
        <v>128</v>
      </c>
      <c r="K20" s="21" t="s">
        <v>128</v>
      </c>
      <c r="L20" s="17"/>
      <c r="M20" s="17" t="s">
        <v>129</v>
      </c>
    </row>
    <row r="21">
      <c r="A21" s="17" t="s">
        <v>134</v>
      </c>
      <c r="B21" s="18" t="s">
        <v>42</v>
      </c>
      <c r="C21" s="19" t="str">
        <f t="shared" si="1"/>
        <v>TYWH80</v>
      </c>
      <c r="D21" s="19" t="s">
        <v>126</v>
      </c>
      <c r="E21" s="20" t="str">
        <f>VLOOKUP(C21,Telemetria!C$1:E$99,2,0)</f>
        <v>Instalacion Lista </v>
      </c>
      <c r="F21" s="19" t="s">
        <v>127</v>
      </c>
      <c r="G21" s="20" t="str">
        <f>VLOOKUP(C21,'Hoja 27'!C$1:E$63,3,0)</f>
        <v>Si cuenta con RS</v>
      </c>
      <c r="H21" s="17" t="str">
        <f t="shared" si="2"/>
        <v>#REF!</v>
      </c>
      <c r="I21" s="21" t="s">
        <v>128</v>
      </c>
      <c r="J21" s="21" t="s">
        <v>128</v>
      </c>
      <c r="K21" s="21" t="s">
        <v>128</v>
      </c>
      <c r="L21" s="17"/>
      <c r="M21" s="17" t="s">
        <v>129</v>
      </c>
    </row>
    <row r="22">
      <c r="A22" s="17" t="s">
        <v>134</v>
      </c>
      <c r="B22" s="18" t="s">
        <v>41</v>
      </c>
      <c r="C22" s="19" t="str">
        <f t="shared" si="1"/>
        <v>VDZC94</v>
      </c>
      <c r="D22" s="19" t="s">
        <v>126</v>
      </c>
      <c r="E22" s="20" t="str">
        <f>VLOOKUP(C22,Telemetria!C$1:E$99,2,0)</f>
        <v>Instalacion Lista </v>
      </c>
      <c r="F22" s="19" t="s">
        <v>127</v>
      </c>
      <c r="G22" s="20" t="str">
        <f>VLOOKUP(C22,'Hoja 27'!C$1:E$63,3,0)</f>
        <v>Si cuenta con RS</v>
      </c>
      <c r="H22" s="17" t="str">
        <f t="shared" si="2"/>
        <v>#REF!</v>
      </c>
      <c r="I22" s="21" t="s">
        <v>128</v>
      </c>
      <c r="J22" s="21" t="s">
        <v>128</v>
      </c>
      <c r="K22" s="21" t="s">
        <v>128</v>
      </c>
      <c r="L22" s="17"/>
      <c r="M22" s="17" t="s">
        <v>129</v>
      </c>
    </row>
    <row r="23">
      <c r="A23" s="17" t="s">
        <v>134</v>
      </c>
      <c r="B23" s="18" t="s">
        <v>35</v>
      </c>
      <c r="C23" s="19" t="str">
        <f t="shared" si="1"/>
        <v>VLHB59</v>
      </c>
      <c r="D23" s="19" t="s">
        <v>126</v>
      </c>
      <c r="E23" s="20" t="str">
        <f>VLOOKUP(C23,Telemetria!C$1:E$99,2,0)</f>
        <v>Instalacion Lista </v>
      </c>
      <c r="F23" s="19" t="s">
        <v>127</v>
      </c>
      <c r="G23" s="20" t="str">
        <f>VLOOKUP(C23,'Hoja 27'!C$1:E$63,3,0)</f>
        <v>Si cuenta con RS</v>
      </c>
      <c r="H23" s="17" t="str">
        <f t="shared" si="2"/>
        <v>#REF!</v>
      </c>
      <c r="I23" s="21" t="s">
        <v>128</v>
      </c>
      <c r="J23" s="21" t="s">
        <v>128</v>
      </c>
      <c r="K23" s="21" t="s">
        <v>129</v>
      </c>
      <c r="L23" s="17"/>
      <c r="M23" s="17" t="s">
        <v>129</v>
      </c>
      <c r="N23" s="5" t="s">
        <v>138</v>
      </c>
    </row>
    <row r="24">
      <c r="A24" s="17" t="s">
        <v>134</v>
      </c>
      <c r="B24" s="18" t="s">
        <v>139</v>
      </c>
      <c r="C24" s="19" t="str">
        <f t="shared" si="1"/>
        <v>VSGW69</v>
      </c>
      <c r="D24" s="19" t="s">
        <v>126</v>
      </c>
      <c r="E24" s="20" t="str">
        <f>VLOOKUP(C24,Telemetria!C$1:E$99,2,0)</f>
        <v>Instalacion Lista </v>
      </c>
      <c r="F24" s="19" t="s">
        <v>140</v>
      </c>
      <c r="G24" s="20" t="str">
        <f>VLOOKUP(C24,'Hoja 27'!C$1:E$63,3,0)</f>
        <v>Si cuenta con RS</v>
      </c>
      <c r="H24" s="17" t="str">
        <f t="shared" si="2"/>
        <v>#REF!</v>
      </c>
      <c r="I24" s="21" t="s">
        <v>129</v>
      </c>
      <c r="J24" s="21" t="s">
        <v>128</v>
      </c>
      <c r="K24" s="21" t="s">
        <v>128</v>
      </c>
      <c r="L24" s="17"/>
      <c r="M24" s="17" t="s">
        <v>129</v>
      </c>
      <c r="N24" s="24" t="s">
        <v>132</v>
      </c>
    </row>
    <row r="25">
      <c r="A25" s="17" t="s">
        <v>141</v>
      </c>
      <c r="B25" s="18" t="s">
        <v>46</v>
      </c>
      <c r="C25" s="19" t="str">
        <f t="shared" si="1"/>
        <v>DLCB16</v>
      </c>
      <c r="D25" s="19" t="s">
        <v>136</v>
      </c>
      <c r="E25" s="20" t="str">
        <f>VLOOKUP(C25,Telemetria!C$1:E$99,2,0)</f>
        <v>Instalacion Lista </v>
      </c>
      <c r="F25" s="19" t="s">
        <v>127</v>
      </c>
      <c r="G25" s="20" t="str">
        <f>VLOOKUP(C25,'Hoja 27'!C$1:E$63,3,0)</f>
        <v>Si cuenta con RS</v>
      </c>
      <c r="H25" s="17" t="str">
        <f t="shared" si="2"/>
        <v>#REF!</v>
      </c>
      <c r="I25" s="21" t="s">
        <v>128</v>
      </c>
      <c r="J25" s="21" t="s">
        <v>128</v>
      </c>
      <c r="K25" s="21" t="s">
        <v>128</v>
      </c>
      <c r="L25" s="17"/>
      <c r="M25" s="17" t="s">
        <v>129</v>
      </c>
      <c r="N25" s="22"/>
    </row>
    <row r="26">
      <c r="A26" s="17" t="s">
        <v>141</v>
      </c>
      <c r="B26" s="18" t="s">
        <v>53</v>
      </c>
      <c r="C26" s="19" t="str">
        <f t="shared" si="1"/>
        <v>PPWY63</v>
      </c>
      <c r="D26" s="19" t="s">
        <v>126</v>
      </c>
      <c r="E26" s="20" t="str">
        <f>VLOOKUP(C26,Telemetria!C$1:E$99,2,0)</f>
        <v>Instalacion Lista </v>
      </c>
      <c r="F26" s="19" t="s">
        <v>127</v>
      </c>
      <c r="G26" s="20" t="str">
        <f>VLOOKUP(C26,'Hoja 27'!C$1:E$63,3,0)</f>
        <v>Si cuenta con RS</v>
      </c>
      <c r="H26" s="17" t="str">
        <f t="shared" si="2"/>
        <v>#REF!</v>
      </c>
      <c r="I26" s="21" t="s">
        <v>128</v>
      </c>
      <c r="J26" s="21" t="s">
        <v>128</v>
      </c>
      <c r="K26" s="21" t="s">
        <v>128</v>
      </c>
      <c r="L26" s="17"/>
      <c r="M26" s="17" t="s">
        <v>129</v>
      </c>
      <c r="N26" s="22"/>
    </row>
    <row r="27">
      <c r="A27" s="17" t="s">
        <v>141</v>
      </c>
      <c r="B27" s="18" t="s">
        <v>58</v>
      </c>
      <c r="C27" s="19" t="str">
        <f t="shared" si="1"/>
        <v>SRYH57</v>
      </c>
      <c r="D27" s="19" t="s">
        <v>126</v>
      </c>
      <c r="E27" s="20" t="str">
        <f>VLOOKUP(C27,Telemetria!C$1:E$99,2,0)</f>
        <v>Instalacion Lista </v>
      </c>
      <c r="F27" s="19" t="s">
        <v>127</v>
      </c>
      <c r="G27" s="20" t="str">
        <f>VLOOKUP(C27,'Hoja 27'!C$1:E$63,3,0)</f>
        <v>Si cuenta con RS</v>
      </c>
      <c r="H27" s="17" t="str">
        <f t="shared" si="2"/>
        <v>#REF!</v>
      </c>
      <c r="I27" s="21" t="s">
        <v>128</v>
      </c>
      <c r="J27" s="21" t="s">
        <v>128</v>
      </c>
      <c r="K27" s="21" t="s">
        <v>128</v>
      </c>
      <c r="L27" s="17"/>
      <c r="M27" s="17" t="s">
        <v>129</v>
      </c>
      <c r="N27" s="22"/>
    </row>
    <row r="28">
      <c r="A28" s="17" t="s">
        <v>141</v>
      </c>
      <c r="B28" s="18" t="s">
        <v>59</v>
      </c>
      <c r="C28" s="19" t="str">
        <f t="shared" si="1"/>
        <v>STWR86</v>
      </c>
      <c r="D28" s="19" t="s">
        <v>126</v>
      </c>
      <c r="E28" s="20" t="str">
        <f>VLOOKUP(C28,Telemetria!C$1:E$99,2,0)</f>
        <v>Pendiente Instalacion</v>
      </c>
      <c r="F28" s="19" t="s">
        <v>127</v>
      </c>
      <c r="G28" s="20" t="str">
        <f>VLOOKUP(C28,'Hoja 27'!C$1:E$63,3,0)</f>
        <v>Si cuenta con RS</v>
      </c>
      <c r="H28" s="17" t="str">
        <f t="shared" si="2"/>
        <v>#REF!</v>
      </c>
      <c r="I28" s="21" t="s">
        <v>128</v>
      </c>
      <c r="J28" s="21" t="s">
        <v>128</v>
      </c>
      <c r="K28" s="21" t="s">
        <v>128</v>
      </c>
      <c r="L28" s="17"/>
      <c r="M28" s="17" t="s">
        <v>129</v>
      </c>
      <c r="N28" s="24"/>
    </row>
    <row r="29">
      <c r="A29" s="17" t="s">
        <v>141</v>
      </c>
      <c r="B29" s="18" t="s">
        <v>61</v>
      </c>
      <c r="C29" s="19" t="str">
        <f t="shared" si="1"/>
        <v>SVLY73</v>
      </c>
      <c r="D29" s="19" t="s">
        <v>126</v>
      </c>
      <c r="E29" s="20" t="str">
        <f>VLOOKUP(C29,Telemetria!C$1:E$99,2,0)</f>
        <v>Instalacion Lista </v>
      </c>
      <c r="F29" s="19" t="s">
        <v>127</v>
      </c>
      <c r="G29" s="20" t="str">
        <f>VLOOKUP(C29,'Hoja 27'!C$1:E$63,3,0)</f>
        <v>No se encuentra documentación</v>
      </c>
      <c r="H29" s="17" t="str">
        <f t="shared" si="2"/>
        <v>#REF!</v>
      </c>
      <c r="I29" s="21" t="s">
        <v>129</v>
      </c>
      <c r="J29" s="21" t="s">
        <v>128</v>
      </c>
      <c r="K29" s="21" t="s">
        <v>128</v>
      </c>
      <c r="L29" s="17"/>
      <c r="M29" s="17" t="s">
        <v>129</v>
      </c>
      <c r="N29" s="22"/>
    </row>
    <row r="30">
      <c r="A30" s="17" t="s">
        <v>141</v>
      </c>
      <c r="B30" s="18" t="s">
        <v>62</v>
      </c>
      <c r="C30" s="19" t="str">
        <f t="shared" si="1"/>
        <v>SYSS70</v>
      </c>
      <c r="D30" s="19" t="s">
        <v>126</v>
      </c>
      <c r="E30" s="20" t="str">
        <f>VLOOKUP(C30,Telemetria!C$1:E$99,2,0)</f>
        <v>Instalacion Lista </v>
      </c>
      <c r="F30" s="19" t="s">
        <v>127</v>
      </c>
      <c r="G30" s="20" t="str">
        <f>VLOOKUP(C30,'Hoja 27'!C$1:E$63,3,0)</f>
        <v>Si cuenta con RS</v>
      </c>
      <c r="H30" s="17" t="str">
        <f t="shared" si="2"/>
        <v>#REF!</v>
      </c>
      <c r="I30" s="21" t="s">
        <v>128</v>
      </c>
      <c r="J30" s="21" t="s">
        <v>128</v>
      </c>
      <c r="K30" s="21" t="s">
        <v>128</v>
      </c>
      <c r="L30" s="17"/>
      <c r="M30" s="17" t="s">
        <v>129</v>
      </c>
      <c r="N30" s="24" t="s">
        <v>142</v>
      </c>
    </row>
    <row r="31">
      <c r="A31" s="17" t="s">
        <v>141</v>
      </c>
      <c r="B31" s="18" t="s">
        <v>143</v>
      </c>
      <c r="C31" s="19" t="str">
        <f t="shared" si="1"/>
        <v>TPXY11</v>
      </c>
      <c r="D31" s="19" t="s">
        <v>126</v>
      </c>
      <c r="E31" s="20" t="str">
        <f>VLOOKUP(C31,Telemetria!C$1:E$99,2,0)</f>
        <v>Pendiente Instalacion</v>
      </c>
      <c r="F31" s="19" t="s">
        <v>127</v>
      </c>
      <c r="G31" s="20" t="str">
        <f>VLOOKUP(C31,'Hoja 27'!C$1:E$63,3,0)</f>
        <v>Si cuenta con RS</v>
      </c>
      <c r="H31" s="17" t="str">
        <f t="shared" si="2"/>
        <v>#REF!</v>
      </c>
      <c r="I31" s="21" t="s">
        <v>129</v>
      </c>
      <c r="J31" s="21" t="s">
        <v>128</v>
      </c>
      <c r="K31" s="21" t="s">
        <v>128</v>
      </c>
      <c r="L31" s="17"/>
      <c r="M31" s="17" t="s">
        <v>129</v>
      </c>
      <c r="N31" s="24" t="s">
        <v>144</v>
      </c>
    </row>
    <row r="32">
      <c r="A32" s="17" t="s">
        <v>141</v>
      </c>
      <c r="B32" s="18" t="s">
        <v>64</v>
      </c>
      <c r="C32" s="19" t="str">
        <f t="shared" si="1"/>
        <v>TVZC13</v>
      </c>
      <c r="D32" s="19" t="s">
        <v>136</v>
      </c>
      <c r="E32" s="20" t="str">
        <f>VLOOKUP(C32,Telemetria!C$1:E$99,2,0)</f>
        <v>Instalacion Lista </v>
      </c>
      <c r="F32" s="19" t="s">
        <v>127</v>
      </c>
      <c r="G32" s="20" t="str">
        <f>VLOOKUP(C32,'Hoja 27'!C$1:E$63,3,0)</f>
        <v>No se encuentra resolución sanitaria</v>
      </c>
      <c r="H32" s="17" t="str">
        <f t="shared" si="2"/>
        <v>#REF!</v>
      </c>
      <c r="I32" s="21" t="s">
        <v>128</v>
      </c>
      <c r="J32" s="21" t="s">
        <v>128</v>
      </c>
      <c r="K32" s="21" t="s">
        <v>128</v>
      </c>
      <c r="L32" s="17"/>
      <c r="M32" s="17" t="s">
        <v>129</v>
      </c>
      <c r="N32" s="22"/>
    </row>
    <row r="33">
      <c r="A33" s="17" t="s">
        <v>141</v>
      </c>
      <c r="B33" s="18" t="s">
        <v>65</v>
      </c>
      <c r="C33" s="19" t="str">
        <f t="shared" si="1"/>
        <v>VHSW61</v>
      </c>
      <c r="D33" s="19" t="s">
        <v>126</v>
      </c>
      <c r="E33" s="20" t="str">
        <f>VLOOKUP(C33,Telemetria!C$1:E$99,2,0)</f>
        <v>Instalacion Lista </v>
      </c>
      <c r="F33" s="19" t="s">
        <v>127</v>
      </c>
      <c r="G33" s="20" t="str">
        <f>VLOOKUP(C33,'Hoja 27'!C$1:E$63,3,0)</f>
        <v>Si cuenta con RS</v>
      </c>
      <c r="H33" s="17" t="str">
        <f t="shared" si="2"/>
        <v>#REF!</v>
      </c>
      <c r="I33" s="21" t="s">
        <v>128</v>
      </c>
      <c r="J33" s="21" t="s">
        <v>128</v>
      </c>
      <c r="K33" s="21" t="s">
        <v>128</v>
      </c>
      <c r="L33" s="17"/>
      <c r="M33" s="17" t="s">
        <v>129</v>
      </c>
      <c r="N33" s="22"/>
    </row>
    <row r="34">
      <c r="A34" s="17" t="s">
        <v>141</v>
      </c>
      <c r="B34" s="25" t="s">
        <v>67</v>
      </c>
      <c r="C34" s="26" t="str">
        <f t="shared" si="1"/>
        <v>TSTP28</v>
      </c>
      <c r="D34" s="19" t="s">
        <v>126</v>
      </c>
      <c r="E34" s="20" t="str">
        <f>VLOOKUP(C34,Telemetria!C$1:E$99,2,0)</f>
        <v>Instalacion Lista </v>
      </c>
      <c r="F34" s="19" t="s">
        <v>140</v>
      </c>
      <c r="G34" s="20" t="str">
        <f>VLOOKUP(C34,'Hoja 27'!C$1:E$63,3,0)</f>
        <v>Si cuenta con RS</v>
      </c>
      <c r="H34" s="17" t="str">
        <f t="shared" si="2"/>
        <v>#REF!</v>
      </c>
      <c r="I34" s="21" t="s">
        <v>129</v>
      </c>
      <c r="J34" s="21" t="s">
        <v>129</v>
      </c>
      <c r="K34" s="21" t="s">
        <v>128</v>
      </c>
      <c r="L34" s="17"/>
      <c r="M34" s="17" t="s">
        <v>129</v>
      </c>
      <c r="N34" s="24" t="s">
        <v>145</v>
      </c>
    </row>
    <row r="35" ht="18.75" customHeight="1">
      <c r="A35" s="17" t="s">
        <v>146</v>
      </c>
      <c r="B35" s="18" t="s">
        <v>68</v>
      </c>
      <c r="C35" s="19" t="str">
        <f t="shared" si="1"/>
        <v>HZPB58</v>
      </c>
      <c r="D35" s="19" t="s">
        <v>126</v>
      </c>
      <c r="E35" s="20" t="str">
        <f>VLOOKUP(C35,Telemetria!C$1:E$99,2,0)</f>
        <v>Instalacion Lista </v>
      </c>
      <c r="F35" s="19" t="s">
        <v>127</v>
      </c>
      <c r="G35" s="20" t="str">
        <f>VLOOKUP(C35,'Hoja 27'!C$1:E$63,3,0)</f>
        <v>Si cuenta con RS</v>
      </c>
      <c r="H35" s="17" t="str">
        <f t="shared" si="2"/>
        <v>#REF!</v>
      </c>
      <c r="I35" s="21" t="s">
        <v>129</v>
      </c>
      <c r="J35" s="21" t="s">
        <v>129</v>
      </c>
      <c r="K35" s="21" t="s">
        <v>129</v>
      </c>
      <c r="L35" s="17"/>
      <c r="M35" s="17" t="s">
        <v>129</v>
      </c>
    </row>
    <row r="36">
      <c r="A36" s="17" t="s">
        <v>146</v>
      </c>
      <c r="B36" s="17" t="s">
        <v>77</v>
      </c>
      <c r="C36" s="19" t="str">
        <f t="shared" si="1"/>
        <v>VKDZ87</v>
      </c>
      <c r="D36" s="19" t="s">
        <v>126</v>
      </c>
      <c r="E36" s="20" t="str">
        <f>VLOOKUP(C36,Telemetria!C$1:E$99,2,0)</f>
        <v>Instalacion Lista </v>
      </c>
      <c r="F36" s="19"/>
      <c r="G36" s="20" t="str">
        <f>VLOOKUP(C36,'Hoja 27'!C$1:E$63,3,0)</f>
        <v>#N/A</v>
      </c>
      <c r="H36" s="17" t="str">
        <f t="shared" si="2"/>
        <v>#REF!</v>
      </c>
      <c r="I36" s="23" t="s">
        <v>130</v>
      </c>
      <c r="J36" s="23" t="s">
        <v>130</v>
      </c>
      <c r="K36" s="23" t="s">
        <v>130</v>
      </c>
      <c r="L36" s="17"/>
      <c r="M36" s="17"/>
      <c r="N36" s="24"/>
    </row>
    <row r="37">
      <c r="A37" s="17" t="s">
        <v>146</v>
      </c>
      <c r="B37" s="17" t="s">
        <v>106</v>
      </c>
      <c r="C37" s="19" t="str">
        <f t="shared" si="1"/>
        <v>TWRJ22</v>
      </c>
      <c r="D37" s="19" t="s">
        <v>126</v>
      </c>
      <c r="E37" s="20" t="str">
        <f>VLOOKUP(C37,Telemetria!C$1:E$99,2,0)</f>
        <v>Instalacion Lista </v>
      </c>
      <c r="F37" s="19"/>
      <c r="G37" s="20" t="str">
        <f>VLOOKUP(C37,'Hoja 27'!C$1:E$63,3,0)</f>
        <v>No se encuentra documentación</v>
      </c>
      <c r="H37" s="17" t="str">
        <f t="shared" si="2"/>
        <v>#REF!</v>
      </c>
      <c r="I37" s="23" t="s">
        <v>130</v>
      </c>
      <c r="J37" s="23" t="s">
        <v>130</v>
      </c>
      <c r="K37" s="23" t="s">
        <v>130</v>
      </c>
      <c r="L37" s="17"/>
      <c r="M37" s="17"/>
      <c r="N37" s="24"/>
    </row>
    <row r="38">
      <c r="A38" s="17" t="s">
        <v>146</v>
      </c>
      <c r="B38" s="18" t="s">
        <v>69</v>
      </c>
      <c r="C38" s="19" t="str">
        <f t="shared" si="1"/>
        <v>TFBY52</v>
      </c>
      <c r="D38" s="19" t="s">
        <v>126</v>
      </c>
      <c r="E38" s="20" t="str">
        <f>VLOOKUP(C38,Telemetria!C$1:E$99,2,0)</f>
        <v>Pendiente Instalacion</v>
      </c>
      <c r="F38" s="19" t="s">
        <v>140</v>
      </c>
      <c r="G38" s="20" t="str">
        <f>VLOOKUP(C38,'Hoja 27'!C$1:E$63,3,0)</f>
        <v>Si cuenta con RS</v>
      </c>
      <c r="H38" s="17" t="str">
        <f t="shared" si="2"/>
        <v>#REF!</v>
      </c>
      <c r="I38" s="23" t="s">
        <v>130</v>
      </c>
      <c r="J38" s="23" t="s">
        <v>130</v>
      </c>
      <c r="K38" s="23" t="s">
        <v>130</v>
      </c>
      <c r="L38" s="17"/>
      <c r="M38" s="17" t="s">
        <v>129</v>
      </c>
      <c r="N38" s="24" t="s">
        <v>147</v>
      </c>
    </row>
    <row r="39">
      <c r="A39" s="17" t="s">
        <v>148</v>
      </c>
      <c r="B39" s="18" t="s">
        <v>70</v>
      </c>
      <c r="C39" s="19" t="str">
        <f t="shared" si="1"/>
        <v>FZKB60</v>
      </c>
      <c r="D39" s="19" t="s">
        <v>126</v>
      </c>
      <c r="E39" s="20" t="str">
        <f>VLOOKUP(C39,Telemetria!C$1:E$99,2,0)</f>
        <v>Instalacion Lista </v>
      </c>
      <c r="F39" s="19" t="s">
        <v>130</v>
      </c>
      <c r="G39" s="20" t="str">
        <f>VLOOKUP(C39,'Hoja 27'!C$1:E$63,3,0)</f>
        <v>Si cuenta con RS</v>
      </c>
      <c r="H39" s="17" t="str">
        <f t="shared" si="2"/>
        <v>#REF!</v>
      </c>
      <c r="I39" s="21" t="s">
        <v>128</v>
      </c>
      <c r="J39" s="21" t="s">
        <v>128</v>
      </c>
      <c r="K39" s="21" t="s">
        <v>128</v>
      </c>
      <c r="L39" s="17"/>
      <c r="M39" s="17" t="s">
        <v>129</v>
      </c>
    </row>
    <row r="40">
      <c r="A40" s="17" t="s">
        <v>148</v>
      </c>
      <c r="B40" s="18" t="s">
        <v>71</v>
      </c>
      <c r="C40" s="19" t="str">
        <f t="shared" si="1"/>
        <v>JSTD66</v>
      </c>
      <c r="D40" s="19" t="s">
        <v>126</v>
      </c>
      <c r="E40" s="20" t="str">
        <f>VLOOKUP(C40,Telemetria!C$1:E$99,2,0)</f>
        <v>Pendiente Instalacion</v>
      </c>
      <c r="F40" s="19" t="s">
        <v>130</v>
      </c>
      <c r="G40" s="20" t="str">
        <f>VLOOKUP(C40,'Hoja 27'!C$1:E$63,3,0)</f>
        <v>Si cuenta con RS</v>
      </c>
      <c r="H40" s="17" t="str">
        <f t="shared" si="2"/>
        <v>#REF!</v>
      </c>
      <c r="I40" s="21" t="s">
        <v>128</v>
      </c>
      <c r="J40" s="21" t="s">
        <v>128</v>
      </c>
      <c r="K40" s="21" t="s">
        <v>128</v>
      </c>
      <c r="L40" s="17"/>
      <c r="M40" s="17" t="s">
        <v>129</v>
      </c>
      <c r="N40" s="24" t="s">
        <v>147</v>
      </c>
    </row>
    <row r="41">
      <c r="A41" s="17" t="s">
        <v>148</v>
      </c>
      <c r="B41" s="17" t="s">
        <v>149</v>
      </c>
      <c r="C41" s="19" t="str">
        <f t="shared" si="1"/>
        <v>VJWK43</v>
      </c>
      <c r="D41" s="19" t="s">
        <v>126</v>
      </c>
      <c r="E41" s="20" t="str">
        <f>VLOOKUP(C41,Telemetria!C$1:E$99,2,0)</f>
        <v>#N/A</v>
      </c>
      <c r="F41" s="19"/>
      <c r="G41" s="20"/>
      <c r="H41" s="17" t="str">
        <f t="shared" si="2"/>
        <v>#REF!</v>
      </c>
      <c r="I41" s="21" t="s">
        <v>128</v>
      </c>
      <c r="J41" s="21" t="s">
        <v>128</v>
      </c>
      <c r="K41" s="21" t="s">
        <v>128</v>
      </c>
      <c r="L41" s="17"/>
      <c r="M41" s="17"/>
    </row>
    <row r="42">
      <c r="A42" s="17" t="s">
        <v>148</v>
      </c>
      <c r="B42" s="17" t="s">
        <v>150</v>
      </c>
      <c r="C42" s="19" t="str">
        <f t="shared" si="1"/>
        <v>VJPH71</v>
      </c>
      <c r="D42" s="19" t="s">
        <v>126</v>
      </c>
      <c r="E42" s="20" t="str">
        <f>VLOOKUP(C42,Telemetria!C$1:E$99,2,0)</f>
        <v>#N/A</v>
      </c>
      <c r="F42" s="19"/>
      <c r="G42" s="20"/>
      <c r="H42" s="17" t="str">
        <f t="shared" si="2"/>
        <v>#REF!</v>
      </c>
      <c r="I42" s="21" t="s">
        <v>129</v>
      </c>
      <c r="J42" s="21" t="s">
        <v>128</v>
      </c>
      <c r="K42" s="21" t="s">
        <v>128</v>
      </c>
      <c r="L42" s="17"/>
      <c r="M42" s="17"/>
      <c r="N42" s="5" t="s">
        <v>151</v>
      </c>
    </row>
    <row r="43">
      <c r="A43" s="17" t="s">
        <v>148</v>
      </c>
      <c r="B43" s="18" t="s">
        <v>73</v>
      </c>
      <c r="C43" s="19" t="str">
        <f t="shared" si="1"/>
        <v>KXDX77</v>
      </c>
      <c r="D43" s="19" t="s">
        <v>126</v>
      </c>
      <c r="E43" s="20" t="str">
        <f>VLOOKUP(C43,Telemetria!C$1:E$99,2,0)</f>
        <v>Instalacion Lista </v>
      </c>
      <c r="F43" s="19" t="s">
        <v>130</v>
      </c>
      <c r="G43" s="20" t="str">
        <f>VLOOKUP(C43,'Hoja 27'!C$1:E$63,3,0)</f>
        <v>Si cuenta con RS</v>
      </c>
      <c r="H43" s="17" t="str">
        <f t="shared" si="2"/>
        <v>#REF!</v>
      </c>
      <c r="I43" s="21" t="s">
        <v>128</v>
      </c>
      <c r="J43" s="21" t="s">
        <v>128</v>
      </c>
      <c r="K43" s="21" t="s">
        <v>128</v>
      </c>
      <c r="L43" s="17"/>
      <c r="M43" s="17" t="s">
        <v>129</v>
      </c>
    </row>
    <row r="44">
      <c r="A44" s="17" t="s">
        <v>148</v>
      </c>
      <c r="B44" s="18" t="s">
        <v>74</v>
      </c>
      <c r="C44" s="19" t="str">
        <f t="shared" si="1"/>
        <v>KZZY13</v>
      </c>
      <c r="D44" s="19" t="s">
        <v>126</v>
      </c>
      <c r="E44" s="20" t="str">
        <f>VLOOKUP(C44,Telemetria!C$1:E$99,2,0)</f>
        <v>Pendiente Instalacion</v>
      </c>
      <c r="F44" s="19" t="s">
        <v>130</v>
      </c>
      <c r="G44" s="20" t="str">
        <f>VLOOKUP(C44,'Hoja 27'!C$1:E$63,3,0)</f>
        <v>Si cuenta con RS</v>
      </c>
      <c r="H44" s="17" t="str">
        <f t="shared" si="2"/>
        <v>#REF!</v>
      </c>
      <c r="I44" s="21" t="s">
        <v>128</v>
      </c>
      <c r="J44" s="21" t="s">
        <v>128</v>
      </c>
      <c r="K44" s="21" t="s">
        <v>129</v>
      </c>
      <c r="L44" s="17"/>
      <c r="M44" s="17" t="s">
        <v>129</v>
      </c>
      <c r="N44" s="24" t="s">
        <v>152</v>
      </c>
    </row>
    <row r="45">
      <c r="A45" s="17" t="s">
        <v>148</v>
      </c>
      <c r="B45" s="18" t="s">
        <v>79</v>
      </c>
      <c r="C45" s="19" t="str">
        <f t="shared" si="1"/>
        <v>VKFD45</v>
      </c>
      <c r="D45" s="19" t="s">
        <v>126</v>
      </c>
      <c r="E45" s="20" t="str">
        <f>VLOOKUP(C45,Telemetria!C$1:E$99,2,0)</f>
        <v>Pendiente Instalacion</v>
      </c>
      <c r="F45" s="19" t="s">
        <v>130</v>
      </c>
      <c r="G45" s="20" t="str">
        <f>VLOOKUP(C45,'Hoja 27'!C$1:E$63,3,0)</f>
        <v>No se encuentra resolución sanitaria</v>
      </c>
      <c r="H45" s="17" t="str">
        <f t="shared" si="2"/>
        <v>#REF!</v>
      </c>
      <c r="I45" s="23" t="s">
        <v>130</v>
      </c>
      <c r="J45" s="23" t="s">
        <v>130</v>
      </c>
      <c r="K45" s="23" t="s">
        <v>130</v>
      </c>
      <c r="L45" s="17"/>
      <c r="M45" s="17" t="s">
        <v>129</v>
      </c>
      <c r="N45" s="24" t="s">
        <v>152</v>
      </c>
    </row>
    <row r="46">
      <c r="A46" s="17" t="s">
        <v>153</v>
      </c>
      <c r="B46" s="18" t="s">
        <v>80</v>
      </c>
      <c r="C46" s="19" t="str">
        <f t="shared" si="1"/>
        <v>JSSK36</v>
      </c>
      <c r="D46" s="19" t="s">
        <v>126</v>
      </c>
      <c r="E46" s="20" t="str">
        <f>VLOOKUP(C46,Telemetria!C$1:E$99,2,0)</f>
        <v>Instalacion Lista </v>
      </c>
      <c r="F46" s="19" t="s">
        <v>127</v>
      </c>
      <c r="G46" s="20" t="str">
        <f>VLOOKUP(C46,'Hoja 27'!C$1:E$63,3,0)</f>
        <v>Si cuenta con RS</v>
      </c>
      <c r="H46" s="17" t="str">
        <f t="shared" si="2"/>
        <v>#REF!</v>
      </c>
      <c r="I46" s="21" t="s">
        <v>128</v>
      </c>
      <c r="J46" s="21" t="s">
        <v>128</v>
      </c>
      <c r="K46" s="21" t="s">
        <v>129</v>
      </c>
      <c r="L46" s="17"/>
      <c r="M46" s="17" t="s">
        <v>129</v>
      </c>
    </row>
    <row r="47">
      <c r="A47" s="17" t="s">
        <v>153</v>
      </c>
      <c r="B47" s="18" t="s">
        <v>81</v>
      </c>
      <c r="C47" s="19" t="str">
        <f t="shared" si="1"/>
        <v>KGVB33</v>
      </c>
      <c r="D47" s="19" t="s">
        <v>126</v>
      </c>
      <c r="E47" s="20" t="str">
        <f>VLOOKUP(C47,Telemetria!C$1:E$99,2,0)</f>
        <v>Pendiente Instalacion</v>
      </c>
      <c r="F47" s="19" t="s">
        <v>127</v>
      </c>
      <c r="G47" s="20" t="str">
        <f>VLOOKUP(C47,'Hoja 27'!C$1:E$63,3,0)</f>
        <v>Si cuenta con RS</v>
      </c>
      <c r="H47" s="17" t="str">
        <f t="shared" si="2"/>
        <v>#REF!</v>
      </c>
      <c r="I47" s="21" t="s">
        <v>129</v>
      </c>
      <c r="J47" s="21" t="s">
        <v>129</v>
      </c>
      <c r="K47" s="21" t="s">
        <v>129</v>
      </c>
      <c r="L47" s="17"/>
      <c r="M47" s="17" t="s">
        <v>129</v>
      </c>
      <c r="N47" s="24" t="s">
        <v>152</v>
      </c>
    </row>
    <row r="48">
      <c r="A48" s="17" t="s">
        <v>154</v>
      </c>
      <c r="B48" s="18" t="s">
        <v>98</v>
      </c>
      <c r="C48" s="27" t="str">
        <f t="shared" si="1"/>
        <v>LRXY26</v>
      </c>
      <c r="D48" s="19" t="s">
        <v>126</v>
      </c>
      <c r="E48" s="20" t="str">
        <f>VLOOKUP(C48,Telemetria!C$1:E$99,2,0)</f>
        <v>Pendiente Instalacion</v>
      </c>
      <c r="F48" s="19" t="s">
        <v>140</v>
      </c>
      <c r="G48" s="20" t="str">
        <f>VLOOKUP(C48,'Hoja 27'!C$1:E$63,3,0)</f>
        <v>Si cuenta con RS</v>
      </c>
      <c r="H48" s="17" t="str">
        <f t="shared" si="2"/>
        <v>#REF!</v>
      </c>
      <c r="I48" s="23" t="s">
        <v>130</v>
      </c>
      <c r="J48" s="23" t="s">
        <v>130</v>
      </c>
      <c r="K48" s="23" t="s">
        <v>130</v>
      </c>
      <c r="L48" s="17"/>
      <c r="M48" s="17" t="s">
        <v>129</v>
      </c>
      <c r="N48" s="24" t="s">
        <v>152</v>
      </c>
    </row>
    <row r="49">
      <c r="A49" s="17" t="s">
        <v>154</v>
      </c>
      <c r="B49" s="18" t="s">
        <v>89</v>
      </c>
      <c r="C49" s="19" t="str">
        <f t="shared" si="1"/>
        <v>PGHD38</v>
      </c>
      <c r="D49" s="19" t="s">
        <v>136</v>
      </c>
      <c r="E49" s="20" t="str">
        <f>VLOOKUP(C49,Telemetria!C$1:E$99,2,0)</f>
        <v>Instalacion Lista </v>
      </c>
      <c r="F49" s="19" t="s">
        <v>140</v>
      </c>
      <c r="G49" s="20" t="str">
        <f>VLOOKUP(C49,'Hoja 27'!C$1:E$63,3,0)</f>
        <v>Si cuenta con RS</v>
      </c>
      <c r="H49" s="17" t="str">
        <f t="shared" si="2"/>
        <v>#REF!</v>
      </c>
      <c r="I49" s="23" t="s">
        <v>130</v>
      </c>
      <c r="J49" s="23" t="s">
        <v>130</v>
      </c>
      <c r="K49" s="23" t="s">
        <v>130</v>
      </c>
      <c r="L49" s="17"/>
      <c r="M49" s="17" t="s">
        <v>129</v>
      </c>
    </row>
    <row r="50">
      <c r="A50" s="17" t="s">
        <v>154</v>
      </c>
      <c r="B50" s="17" t="s">
        <v>155</v>
      </c>
      <c r="C50" s="19" t="str">
        <f t="shared" si="1"/>
        <v>VJHH25</v>
      </c>
      <c r="D50" s="19" t="s">
        <v>126</v>
      </c>
      <c r="E50" s="20" t="str">
        <f>VLOOKUP(C50,Telemetria!C$1:E$99,2,0)</f>
        <v>#N/A</v>
      </c>
      <c r="F50" s="19"/>
      <c r="G50" s="20" t="str">
        <f>VLOOKUP(C50,'Hoja 27'!C$1:E$63,3,0)</f>
        <v>#N/A</v>
      </c>
      <c r="H50" s="17" t="str">
        <f t="shared" si="2"/>
        <v>#REF!</v>
      </c>
      <c r="I50" s="23" t="s">
        <v>130</v>
      </c>
      <c r="J50" s="23" t="s">
        <v>130</v>
      </c>
      <c r="K50" s="23" t="s">
        <v>130</v>
      </c>
      <c r="L50" s="17"/>
      <c r="M50" s="17"/>
    </row>
    <row r="51">
      <c r="A51" s="17" t="s">
        <v>154</v>
      </c>
      <c r="B51" s="17" t="s">
        <v>156</v>
      </c>
      <c r="C51" s="19" t="str">
        <f t="shared" si="1"/>
        <v>VJPH80</v>
      </c>
      <c r="D51" s="19" t="s">
        <v>126</v>
      </c>
      <c r="E51" s="20" t="str">
        <f>VLOOKUP(C51,Telemetria!C$1:E$99,2,0)</f>
        <v>#N/A</v>
      </c>
      <c r="F51" s="19"/>
      <c r="G51" s="20" t="str">
        <f>VLOOKUP(C51,'Hoja 27'!C$1:E$63,3,0)</f>
        <v>#N/A</v>
      </c>
      <c r="H51" s="17" t="str">
        <f t="shared" si="2"/>
        <v>#REF!</v>
      </c>
      <c r="I51" s="23" t="s">
        <v>130</v>
      </c>
      <c r="J51" s="23" t="s">
        <v>130</v>
      </c>
      <c r="K51" s="23" t="s">
        <v>130</v>
      </c>
      <c r="L51" s="17"/>
      <c r="M51" s="17"/>
    </row>
    <row r="52">
      <c r="A52" s="17" t="s">
        <v>154</v>
      </c>
      <c r="B52" s="17" t="s">
        <v>157</v>
      </c>
      <c r="C52" s="19" t="str">
        <f t="shared" si="1"/>
        <v>VJWK44</v>
      </c>
      <c r="D52" s="19" t="s">
        <v>126</v>
      </c>
      <c r="E52" s="20" t="str">
        <f>VLOOKUP(C52,Telemetria!C$1:E$99,2,0)</f>
        <v>#N/A</v>
      </c>
      <c r="F52" s="19"/>
      <c r="G52" s="20" t="str">
        <f>VLOOKUP(C52,'Hoja 27'!C$1:E$63,3,0)</f>
        <v>#N/A</v>
      </c>
      <c r="H52" s="17" t="str">
        <f t="shared" si="2"/>
        <v>#REF!</v>
      </c>
      <c r="I52" s="21" t="s">
        <v>129</v>
      </c>
      <c r="J52" s="28" t="s">
        <v>128</v>
      </c>
      <c r="K52" s="28" t="s">
        <v>128</v>
      </c>
      <c r="L52" s="17"/>
      <c r="M52" s="17"/>
      <c r="N52" s="5" t="s">
        <v>151</v>
      </c>
    </row>
    <row r="53">
      <c r="A53" s="17" t="s">
        <v>154</v>
      </c>
      <c r="B53" s="18" t="s">
        <v>91</v>
      </c>
      <c r="C53" s="19" t="str">
        <f t="shared" si="1"/>
        <v>TRYL78</v>
      </c>
      <c r="D53" s="19" t="s">
        <v>126</v>
      </c>
      <c r="E53" s="20" t="str">
        <f>VLOOKUP(C53,Telemetria!C$1:E$99,2,0)</f>
        <v>Instalacion Lista </v>
      </c>
      <c r="F53" s="19" t="s">
        <v>127</v>
      </c>
      <c r="G53" s="20" t="str">
        <f>VLOOKUP(C53,'Hoja 27'!C$1:E$63,3,0)</f>
        <v>No se encuentra resolución sanitaria</v>
      </c>
      <c r="H53" s="17" t="str">
        <f t="shared" si="2"/>
        <v>#REF!</v>
      </c>
      <c r="I53" s="21" t="s">
        <v>128</v>
      </c>
      <c r="J53" s="21" t="s">
        <v>128</v>
      </c>
      <c r="K53" s="21" t="s">
        <v>129</v>
      </c>
      <c r="L53" s="17"/>
      <c r="M53" s="17" t="s">
        <v>129</v>
      </c>
    </row>
    <row r="54">
      <c r="A54" s="17" t="s">
        <v>154</v>
      </c>
      <c r="B54" s="18" t="s">
        <v>92</v>
      </c>
      <c r="C54" s="19" t="str">
        <f t="shared" si="1"/>
        <v>VGWW22</v>
      </c>
      <c r="D54" s="19" t="s">
        <v>126</v>
      </c>
      <c r="E54" s="20" t="str">
        <f>VLOOKUP(C54,Telemetria!C$1:E$99,2,0)</f>
        <v>Instalacion Lista </v>
      </c>
      <c r="F54" s="19" t="s">
        <v>127</v>
      </c>
      <c r="G54" s="20" t="str">
        <f>VLOOKUP(C54,'Hoja 27'!C$1:E$63,3,0)</f>
        <v>No se encuentra resolución sanitaria</v>
      </c>
      <c r="H54" s="17" t="str">
        <f t="shared" si="2"/>
        <v>#REF!</v>
      </c>
      <c r="I54" s="21" t="s">
        <v>128</v>
      </c>
      <c r="J54" s="21" t="s">
        <v>128</v>
      </c>
      <c r="K54" s="21" t="s">
        <v>128</v>
      </c>
      <c r="L54" s="17"/>
      <c r="M54" s="17" t="s">
        <v>129</v>
      </c>
    </row>
    <row r="55">
      <c r="A55" s="17" t="s">
        <v>158</v>
      </c>
      <c r="B55" s="18" t="s">
        <v>94</v>
      </c>
      <c r="C55" s="19" t="str">
        <f t="shared" si="1"/>
        <v>KSXP45</v>
      </c>
      <c r="D55" s="19" t="s">
        <v>126</v>
      </c>
      <c r="E55" s="20" t="str">
        <f>VLOOKUP(C55,Telemetria!C$1:E$99,2,0)</f>
        <v>Instalacion Lista </v>
      </c>
      <c r="F55" s="19" t="s">
        <v>127</v>
      </c>
      <c r="G55" s="20" t="str">
        <f>VLOOKUP(C55,'Hoja 27'!C$1:E$63,3,0)</f>
        <v>No se encuentra documentación</v>
      </c>
      <c r="H55" s="17" t="str">
        <f t="shared" si="2"/>
        <v>#REF!</v>
      </c>
      <c r="I55" s="21" t="s">
        <v>128</v>
      </c>
      <c r="J55" s="21" t="s">
        <v>128</v>
      </c>
      <c r="K55" s="21" t="s">
        <v>128</v>
      </c>
      <c r="L55" s="17"/>
      <c r="M55" s="17" t="s">
        <v>129</v>
      </c>
    </row>
    <row r="56">
      <c r="A56" s="17" t="s">
        <v>158</v>
      </c>
      <c r="B56" s="18" t="s">
        <v>99</v>
      </c>
      <c r="C56" s="19" t="str">
        <f t="shared" si="1"/>
        <v>LSVH23</v>
      </c>
      <c r="D56" s="19" t="s">
        <v>126</v>
      </c>
      <c r="E56" s="20" t="str">
        <f>VLOOKUP(C56,Telemetria!C$1:E$99,2,0)</f>
        <v>Instalacion Lista </v>
      </c>
      <c r="F56" s="19" t="s">
        <v>127</v>
      </c>
      <c r="G56" s="20" t="str">
        <f>VLOOKUP(C56,'Hoja 27'!C$1:E$63,3,0)</f>
        <v>Si cuenta con RS</v>
      </c>
      <c r="H56" s="17" t="str">
        <f t="shared" si="2"/>
        <v>#REF!</v>
      </c>
      <c r="I56" s="21" t="s">
        <v>128</v>
      </c>
      <c r="J56" s="21" t="s">
        <v>128</v>
      </c>
      <c r="K56" s="21" t="s">
        <v>128</v>
      </c>
      <c r="L56" s="17"/>
      <c r="M56" s="17" t="s">
        <v>129</v>
      </c>
      <c r="N56" s="5" t="s">
        <v>159</v>
      </c>
    </row>
    <row r="57">
      <c r="A57" s="17" t="s">
        <v>158</v>
      </c>
      <c r="B57" s="18" t="s">
        <v>101</v>
      </c>
      <c r="C57" s="19" t="str">
        <f t="shared" si="1"/>
        <v>PCJZ43</v>
      </c>
      <c r="D57" s="19" t="s">
        <v>126</v>
      </c>
      <c r="E57" s="20" t="str">
        <f>VLOOKUP(C57,Telemetria!C$1:E$99,2,0)</f>
        <v>Instalacion Lista </v>
      </c>
      <c r="F57" s="19" t="s">
        <v>127</v>
      </c>
      <c r="G57" s="20" t="str">
        <f>VLOOKUP(C57,'Hoja 27'!C$1:E$63,3,0)</f>
        <v>Si cuenta con RS</v>
      </c>
      <c r="H57" s="17" t="str">
        <f t="shared" si="2"/>
        <v>#REF!</v>
      </c>
      <c r="I57" s="21" t="s">
        <v>128</v>
      </c>
      <c r="J57" s="21" t="s">
        <v>128</v>
      </c>
      <c r="K57" s="21" t="s">
        <v>128</v>
      </c>
      <c r="L57" s="17"/>
      <c r="M57" s="17" t="s">
        <v>129</v>
      </c>
    </row>
    <row r="58">
      <c r="A58" s="17" t="s">
        <v>158</v>
      </c>
      <c r="B58" s="18" t="s">
        <v>103</v>
      </c>
      <c r="C58" s="19" t="str">
        <f t="shared" si="1"/>
        <v>RBYF40</v>
      </c>
      <c r="D58" s="19" t="s">
        <v>126</v>
      </c>
      <c r="E58" s="20" t="str">
        <f>VLOOKUP(C58,Telemetria!C$1:E$99,2,0)</f>
        <v>Instalacion Lista </v>
      </c>
      <c r="F58" s="19" t="s">
        <v>127</v>
      </c>
      <c r="G58" s="20" t="str">
        <f>VLOOKUP(C58,'Hoja 27'!C$1:E$63,3,0)</f>
        <v>Si cuenta con RS</v>
      </c>
      <c r="H58" s="17" t="str">
        <f t="shared" si="2"/>
        <v>#REF!</v>
      </c>
      <c r="I58" s="21" t="s">
        <v>128</v>
      </c>
      <c r="J58" s="21" t="s">
        <v>128</v>
      </c>
      <c r="K58" s="21" t="s">
        <v>128</v>
      </c>
      <c r="L58" s="17"/>
      <c r="M58" s="17" t="s">
        <v>129</v>
      </c>
    </row>
    <row r="59">
      <c r="A59" s="17" t="s">
        <v>158</v>
      </c>
      <c r="B59" s="18" t="s">
        <v>160</v>
      </c>
      <c r="C59" s="19" t="str">
        <f t="shared" si="1"/>
        <v>RTTR83</v>
      </c>
      <c r="D59" s="19" t="s">
        <v>126</v>
      </c>
      <c r="E59" s="20" t="str">
        <f>VLOOKUP(C59,Telemetria!C$1:E$99,2,0)</f>
        <v>Pendiente Instalacion</v>
      </c>
      <c r="F59" s="19" t="s">
        <v>140</v>
      </c>
      <c r="G59" s="20" t="str">
        <f>VLOOKUP(C59,'Hoja 27'!C$1:E$63,3,0)</f>
        <v>Si cuenta con RS</v>
      </c>
      <c r="H59" s="17" t="str">
        <f t="shared" si="2"/>
        <v>#REF!</v>
      </c>
      <c r="I59" s="21" t="s">
        <v>129</v>
      </c>
      <c r="J59" s="21" t="s">
        <v>128</v>
      </c>
      <c r="K59" s="21" t="s">
        <v>128</v>
      </c>
      <c r="L59" s="17"/>
      <c r="M59" s="17" t="s">
        <v>129</v>
      </c>
      <c r="N59" s="24" t="s">
        <v>152</v>
      </c>
    </row>
    <row r="60">
      <c r="A60" s="17" t="s">
        <v>158</v>
      </c>
      <c r="B60" s="18" t="s">
        <v>96</v>
      </c>
      <c r="C60" s="19" t="str">
        <f t="shared" si="1"/>
        <v>SDYY74</v>
      </c>
      <c r="D60" s="19" t="s">
        <v>126</v>
      </c>
      <c r="E60" s="20" t="str">
        <f>VLOOKUP(C60,Telemetria!C$1:E$99,2,0)</f>
        <v>Instalacion Lista </v>
      </c>
      <c r="F60" s="19" t="s">
        <v>127</v>
      </c>
      <c r="G60" s="20" t="str">
        <f>VLOOKUP(C60,'Hoja 27'!C$1:E$63,3,0)</f>
        <v>Si cuenta con RS</v>
      </c>
      <c r="H60" s="17" t="str">
        <f t="shared" si="2"/>
        <v>#REF!</v>
      </c>
      <c r="I60" s="21" t="s">
        <v>128</v>
      </c>
      <c r="J60" s="21" t="s">
        <v>128</v>
      </c>
      <c r="K60" s="21" t="s">
        <v>128</v>
      </c>
      <c r="L60" s="17"/>
      <c r="M60" s="17" t="s">
        <v>129</v>
      </c>
    </row>
    <row r="61">
      <c r="A61" s="17" t="s">
        <v>158</v>
      </c>
      <c r="B61" s="18" t="s">
        <v>104</v>
      </c>
      <c r="C61" s="19" t="str">
        <f t="shared" si="1"/>
        <v>SKXW43</v>
      </c>
      <c r="D61" s="19" t="s">
        <v>126</v>
      </c>
      <c r="E61" s="20" t="str">
        <f>VLOOKUP(C61,Telemetria!C$1:E$99,2,0)</f>
        <v>Instalacion Lista </v>
      </c>
      <c r="F61" s="19" t="s">
        <v>127</v>
      </c>
      <c r="G61" s="20" t="str">
        <f>VLOOKUP(C61,'Hoja 27'!C$1:E$63,3,0)</f>
        <v>Si cuenta con RS</v>
      </c>
      <c r="H61" s="17" t="str">
        <f t="shared" si="2"/>
        <v>#REF!</v>
      </c>
      <c r="I61" s="21" t="s">
        <v>128</v>
      </c>
      <c r="J61" s="21" t="s">
        <v>128</v>
      </c>
      <c r="K61" s="21" t="s">
        <v>128</v>
      </c>
      <c r="L61" s="17"/>
      <c r="M61" s="17" t="s">
        <v>129</v>
      </c>
    </row>
    <row r="62">
      <c r="A62" s="17" t="s">
        <v>158</v>
      </c>
      <c r="B62" s="18" t="s">
        <v>105</v>
      </c>
      <c r="C62" s="19" t="str">
        <f t="shared" si="1"/>
        <v>TJDR58</v>
      </c>
      <c r="D62" s="19" t="s">
        <v>126</v>
      </c>
      <c r="E62" s="20" t="str">
        <f>VLOOKUP(C62,Telemetria!C$1:E$99,2,0)</f>
        <v>Instalacion Lista </v>
      </c>
      <c r="F62" s="19" t="s">
        <v>127</v>
      </c>
      <c r="G62" s="20" t="str">
        <f>VLOOKUP(C62,'Hoja 27'!C$1:E$63,3,0)</f>
        <v>Si cuenta con RS</v>
      </c>
      <c r="H62" s="17" t="str">
        <f t="shared" si="2"/>
        <v>#REF!</v>
      </c>
      <c r="I62" s="21" t="s">
        <v>128</v>
      </c>
      <c r="J62" s="21" t="s">
        <v>128</v>
      </c>
      <c r="K62" s="21" t="s">
        <v>128</v>
      </c>
      <c r="L62" s="17"/>
      <c r="M62" s="17" t="s">
        <v>129</v>
      </c>
    </row>
    <row r="63">
      <c r="A63" s="17" t="s">
        <v>158</v>
      </c>
      <c r="B63" s="18" t="s">
        <v>102</v>
      </c>
      <c r="C63" s="19" t="str">
        <f t="shared" si="1"/>
        <v>TRPP43</v>
      </c>
      <c r="D63" s="19" t="s">
        <v>126</v>
      </c>
      <c r="E63" s="20" t="str">
        <f>VLOOKUP(C63,Telemetria!C$1:E$99,2,0)</f>
        <v>Instalacion Lista </v>
      </c>
      <c r="F63" s="19" t="s">
        <v>140</v>
      </c>
      <c r="G63" s="20" t="str">
        <f>VLOOKUP(C63,'Hoja 27'!C$1:E$63,3,0)</f>
        <v>Si cuenta con RS</v>
      </c>
      <c r="H63" s="17" t="str">
        <f t="shared" si="2"/>
        <v>#REF!</v>
      </c>
      <c r="I63" s="23" t="s">
        <v>161</v>
      </c>
      <c r="J63" s="23" t="s">
        <v>161</v>
      </c>
      <c r="K63" s="23" t="s">
        <v>161</v>
      </c>
      <c r="L63" s="17"/>
      <c r="M63" s="17" t="s">
        <v>129</v>
      </c>
      <c r="N63" s="24" t="s">
        <v>152</v>
      </c>
    </row>
    <row r="64">
      <c r="A64" s="17" t="s">
        <v>158</v>
      </c>
      <c r="B64" s="18" t="s">
        <v>106</v>
      </c>
      <c r="C64" s="19" t="str">
        <f t="shared" si="1"/>
        <v>TWRJ22</v>
      </c>
      <c r="D64" s="19" t="s">
        <v>126</v>
      </c>
      <c r="E64" s="20" t="str">
        <f>VLOOKUP(C64,Telemetria!C$1:E$99,2,0)</f>
        <v>Instalacion Lista </v>
      </c>
      <c r="F64" s="19" t="s">
        <v>127</v>
      </c>
      <c r="G64" s="20" t="str">
        <f>VLOOKUP(C64,'Hoja 27'!C$1:E$63,3,0)</f>
        <v>No se encuentra documentación</v>
      </c>
      <c r="H64" s="17" t="str">
        <f t="shared" si="2"/>
        <v>#REF!</v>
      </c>
      <c r="I64" s="21" t="s">
        <v>128</v>
      </c>
      <c r="J64" s="21" t="s">
        <v>128</v>
      </c>
      <c r="K64" s="21" t="s">
        <v>128</v>
      </c>
      <c r="L64" s="17"/>
      <c r="M64" s="17" t="s">
        <v>129</v>
      </c>
    </row>
    <row r="65">
      <c r="A65" s="17" t="s">
        <v>158</v>
      </c>
      <c r="B65" s="18" t="s">
        <v>162</v>
      </c>
      <c r="C65" s="19" t="str">
        <f t="shared" si="1"/>
        <v>VKJF15</v>
      </c>
      <c r="D65" s="19" t="s">
        <v>126</v>
      </c>
      <c r="E65" s="20" t="str">
        <f>VLOOKUP(C65,Telemetria!C$1:E$99,2,0)</f>
        <v>Pendiente Instalacion</v>
      </c>
      <c r="F65" s="19" t="s">
        <v>140</v>
      </c>
      <c r="G65" s="20" t="str">
        <f>VLOOKUP(C65,'Hoja 27'!C$1:E$63,3,0)</f>
        <v>Si cuenta con RS</v>
      </c>
      <c r="H65" s="17" t="str">
        <f t="shared" si="2"/>
        <v>#REF!</v>
      </c>
      <c r="I65" s="21" t="s">
        <v>129</v>
      </c>
      <c r="J65" s="21" t="s">
        <v>128</v>
      </c>
      <c r="K65" s="21" t="s">
        <v>128</v>
      </c>
      <c r="L65" s="17"/>
      <c r="M65" s="17" t="s">
        <v>129</v>
      </c>
      <c r="N65" s="24" t="s">
        <v>163</v>
      </c>
    </row>
    <row r="66">
      <c r="A66" s="17" t="s">
        <v>158</v>
      </c>
      <c r="B66" s="19" t="s">
        <v>164</v>
      </c>
      <c r="C66" s="19" t="str">
        <f t="shared" si="1"/>
        <v>RPWK21</v>
      </c>
      <c r="D66" s="19" t="s">
        <v>126</v>
      </c>
      <c r="E66" s="20" t="str">
        <f>VLOOKUP(C66,Telemetria!C$1:E$99,2,0)</f>
        <v>Instalacion Lista </v>
      </c>
      <c r="F66" s="19" t="s">
        <v>140</v>
      </c>
      <c r="G66" s="20" t="str">
        <f>VLOOKUP(C66,'Hoja 27'!C$1:E$63,3,0)</f>
        <v>Si cuenta con RS</v>
      </c>
      <c r="H66" s="17" t="str">
        <f t="shared" si="2"/>
        <v>#REF!</v>
      </c>
      <c r="I66" s="23" t="s">
        <v>165</v>
      </c>
      <c r="J66" s="21" t="s">
        <v>128</v>
      </c>
      <c r="K66" s="21" t="s">
        <v>128</v>
      </c>
      <c r="L66" s="17"/>
      <c r="M66" s="17" t="s">
        <v>129</v>
      </c>
      <c r="N66" s="24" t="s">
        <v>163</v>
      </c>
    </row>
    <row r="67">
      <c r="A67" s="17" t="s">
        <v>158</v>
      </c>
      <c r="B67" s="19" t="s">
        <v>166</v>
      </c>
      <c r="C67" s="19" t="str">
        <f t="shared" si="1"/>
        <v>PRFC70</v>
      </c>
      <c r="D67" s="19" t="s">
        <v>126</v>
      </c>
      <c r="E67" s="20" t="str">
        <f>VLOOKUP(C67,Telemetria!C$1:E$99,2,0)</f>
        <v>Instalacion Lista </v>
      </c>
      <c r="F67" s="19" t="s">
        <v>140</v>
      </c>
      <c r="G67" s="20" t="str">
        <f>VLOOKUP(C67,'Hoja 27'!C$1:E$63,3,0)</f>
        <v>Si cuenta con RS</v>
      </c>
      <c r="H67" s="17" t="str">
        <f t="shared" si="2"/>
        <v>#REF!</v>
      </c>
      <c r="I67" s="23" t="s">
        <v>165</v>
      </c>
      <c r="J67" s="21" t="s">
        <v>128</v>
      </c>
      <c r="K67" s="21" t="s">
        <v>128</v>
      </c>
      <c r="L67" s="17"/>
      <c r="M67" s="17" t="s">
        <v>129</v>
      </c>
      <c r="N67" s="24" t="s">
        <v>151</v>
      </c>
    </row>
    <row r="68">
      <c r="A68" s="17" t="s">
        <v>167</v>
      </c>
      <c r="B68" s="18" t="s">
        <v>107</v>
      </c>
      <c r="C68" s="19" t="str">
        <f t="shared" si="1"/>
        <v>JTYF43</v>
      </c>
      <c r="D68" s="19" t="s">
        <v>126</v>
      </c>
      <c r="E68" s="20" t="str">
        <f>VLOOKUP(C68,Telemetria!C$1:E$99,2,0)</f>
        <v>Instalacion Lista </v>
      </c>
      <c r="F68" s="19" t="s">
        <v>127</v>
      </c>
      <c r="G68" s="20" t="str">
        <f>VLOOKUP(C68,'Hoja 27'!C$1:E$63,3,0)</f>
        <v>No se encuentra resolución sanitaria</v>
      </c>
      <c r="H68" s="17" t="str">
        <f t="shared" si="2"/>
        <v>#REF!</v>
      </c>
      <c r="I68" s="23" t="s">
        <v>130</v>
      </c>
      <c r="J68" s="23" t="s">
        <v>130</v>
      </c>
      <c r="K68" s="23" t="s">
        <v>130</v>
      </c>
      <c r="L68" s="17"/>
      <c r="M68" s="17" t="s">
        <v>129</v>
      </c>
    </row>
    <row r="69">
      <c r="A69" s="17" t="s">
        <v>167</v>
      </c>
      <c r="B69" s="18" t="s">
        <v>108</v>
      </c>
      <c r="C69" s="19" t="str">
        <f t="shared" si="1"/>
        <v>LHZW29</v>
      </c>
      <c r="D69" s="19" t="s">
        <v>126</v>
      </c>
      <c r="E69" s="20" t="str">
        <f>VLOOKUP(C69,Telemetria!C$1:E$99,2,0)</f>
        <v>Instalacion Lista </v>
      </c>
      <c r="F69" s="19" t="s">
        <v>127</v>
      </c>
      <c r="G69" s="20" t="str">
        <f>VLOOKUP(C69,'Hoja 27'!C$1:E$63,3,0)</f>
        <v>Si cuenta con RS</v>
      </c>
      <c r="H69" s="17" t="str">
        <f t="shared" si="2"/>
        <v>#REF!</v>
      </c>
      <c r="I69" s="21" t="s">
        <v>128</v>
      </c>
      <c r="J69" s="21" t="s">
        <v>128</v>
      </c>
      <c r="K69" s="21" t="s">
        <v>128</v>
      </c>
      <c r="L69" s="17"/>
      <c r="M69" s="17" t="s">
        <v>129</v>
      </c>
      <c r="N69" s="5" t="s">
        <v>168</v>
      </c>
    </row>
    <row r="70">
      <c r="A70" s="17" t="s">
        <v>167</v>
      </c>
      <c r="B70" s="17" t="s">
        <v>169</v>
      </c>
      <c r="C70" s="19" t="str">
        <f t="shared" si="1"/>
        <v>VJWK40</v>
      </c>
      <c r="D70" s="19" t="s">
        <v>126</v>
      </c>
      <c r="E70" s="20" t="str">
        <f>VLOOKUP(C70,Telemetria!C$1:E$99,2,0)</f>
        <v>#N/A</v>
      </c>
      <c r="F70" s="19" t="s">
        <v>170</v>
      </c>
      <c r="G70" s="19" t="s">
        <v>170</v>
      </c>
      <c r="H70" s="17" t="str">
        <f t="shared" si="2"/>
        <v>#REF!</v>
      </c>
      <c r="I70" s="21" t="s">
        <v>128</v>
      </c>
      <c r="J70" s="21" t="s">
        <v>128</v>
      </c>
      <c r="K70" s="21" t="s">
        <v>128</v>
      </c>
      <c r="L70" s="17"/>
      <c r="M70" s="17"/>
      <c r="N70" s="5"/>
    </row>
    <row r="71">
      <c r="A71" s="17" t="s">
        <v>167</v>
      </c>
      <c r="B71" s="17" t="s">
        <v>171</v>
      </c>
      <c r="C71" s="19" t="str">
        <f t="shared" si="1"/>
        <v>VJWK39</v>
      </c>
      <c r="D71" s="19" t="s">
        <v>126</v>
      </c>
      <c r="E71" s="20" t="str">
        <f>VLOOKUP(C71,Telemetria!C$1:E$99,2,0)</f>
        <v>#N/A</v>
      </c>
      <c r="F71" s="19" t="s">
        <v>170</v>
      </c>
      <c r="G71" s="19" t="s">
        <v>170</v>
      </c>
      <c r="H71" s="17" t="str">
        <f t="shared" si="2"/>
        <v>#REF!</v>
      </c>
      <c r="I71" s="21" t="s">
        <v>128</v>
      </c>
      <c r="J71" s="21" t="s">
        <v>128</v>
      </c>
      <c r="K71" s="21" t="s">
        <v>128</v>
      </c>
      <c r="L71" s="17"/>
      <c r="M71" s="17"/>
      <c r="N71" s="5"/>
    </row>
    <row r="72">
      <c r="A72" s="29" t="s">
        <v>167</v>
      </c>
      <c r="B72" s="29" t="s">
        <v>172</v>
      </c>
      <c r="C72" s="30" t="str">
        <f t="shared" si="1"/>
        <v>VJPH72</v>
      </c>
      <c r="D72" s="19" t="s">
        <v>126</v>
      </c>
      <c r="E72" s="30" t="s">
        <v>173</v>
      </c>
      <c r="F72" s="30" t="s">
        <v>130</v>
      </c>
      <c r="G72" s="30" t="s">
        <v>130</v>
      </c>
      <c r="H72" s="30" t="s">
        <v>130</v>
      </c>
      <c r="I72" s="31" t="s">
        <v>130</v>
      </c>
      <c r="J72" s="31" t="s">
        <v>130</v>
      </c>
      <c r="K72" s="31" t="s">
        <v>130</v>
      </c>
      <c r="L72" s="30" t="s">
        <v>130</v>
      </c>
      <c r="M72" s="30" t="s">
        <v>130</v>
      </c>
      <c r="N72" s="5"/>
    </row>
    <row r="73">
      <c r="A73" s="29" t="s">
        <v>167</v>
      </c>
      <c r="B73" s="29" t="s">
        <v>174</v>
      </c>
      <c r="C73" s="30" t="str">
        <f t="shared" si="1"/>
        <v>VJPH79</v>
      </c>
      <c r="D73" s="19" t="s">
        <v>126</v>
      </c>
      <c r="E73" s="30" t="s">
        <v>173</v>
      </c>
      <c r="F73" s="30" t="s">
        <v>130</v>
      </c>
      <c r="G73" s="30" t="s">
        <v>130</v>
      </c>
      <c r="H73" s="30" t="s">
        <v>130</v>
      </c>
      <c r="I73" s="31" t="s">
        <v>130</v>
      </c>
      <c r="J73" s="31" t="s">
        <v>130</v>
      </c>
      <c r="K73" s="31" t="s">
        <v>130</v>
      </c>
      <c r="L73" s="30" t="s">
        <v>130</v>
      </c>
      <c r="M73" s="30" t="s">
        <v>130</v>
      </c>
      <c r="N73" s="5"/>
    </row>
    <row r="74">
      <c r="A74" s="17" t="s">
        <v>167</v>
      </c>
      <c r="B74" s="18" t="s">
        <v>109</v>
      </c>
      <c r="C74" s="19" t="str">
        <f t="shared" si="1"/>
        <v>LLXD43</v>
      </c>
      <c r="D74" s="19" t="s">
        <v>126</v>
      </c>
      <c r="E74" s="20" t="str">
        <f>VLOOKUP(C74,Telemetria!C$1:E$99,2,0)</f>
        <v>Instalacion Lista </v>
      </c>
      <c r="F74" s="19" t="s">
        <v>170</v>
      </c>
      <c r="G74" s="20" t="str">
        <f>VLOOKUP(C74,'Hoja 27'!C$1:E$63,3,0)</f>
        <v>No se encuentra resolución sanitaria</v>
      </c>
      <c r="H74" s="17" t="str">
        <f>VLOOKUP(C74,'Hoja 33'!B$2:E$67,1,0)</f>
        <v>#REF!</v>
      </c>
      <c r="I74" s="21" t="s">
        <v>128</v>
      </c>
      <c r="J74" s="21" t="s">
        <v>128</v>
      </c>
      <c r="K74" s="21" t="s">
        <v>128</v>
      </c>
      <c r="L74" s="17"/>
      <c r="M74" s="17" t="s">
        <v>129</v>
      </c>
      <c r="N74" s="5" t="s">
        <v>168</v>
      </c>
    </row>
  </sheetData>
  <autoFilter ref="$I$1:$I$929"/>
  <conditionalFormatting sqref="E2:E74 F72:M73">
    <cfRule type="containsText" dxfId="3" priority="1" operator="containsText" text="INSTALACION LISTA">
      <formula>NOT(ISERROR(SEARCH(("INSTALACION LISTA"),(E2))))</formula>
    </cfRule>
  </conditionalFormatting>
  <conditionalFormatting sqref="F2:F74 G70:G71">
    <cfRule type="containsText" dxfId="3" priority="2" operator="containsText" text="Si">
      <formula>NOT(ISERROR(SEARCH(("Si"),(F2))))</formula>
    </cfRule>
  </conditionalFormatting>
  <conditionalFormatting sqref="F2:F74 G70:G71">
    <cfRule type="containsText" dxfId="2" priority="3" operator="containsText" text="No">
      <formula>NOT(ISERROR(SEARCH(("No"),(F2))))</formula>
    </cfRule>
  </conditionalFormatting>
  <conditionalFormatting sqref="G2:G74">
    <cfRule type="containsText" dxfId="3" priority="4" operator="containsText" text="Si cuenta con RS">
      <formula>NOT(ISERROR(SEARCH(("Si cuenta con RS"),(G2))))</formula>
    </cfRule>
  </conditionalFormatting>
  <conditionalFormatting sqref="I15:K15 I36:J38 K36:K43 I45:K45 J48:J51 K48:K52 I49 I51 I63:K63 I66:I68 J67:K68">
    <cfRule type="containsText" dxfId="3" priority="5" operator="containsText" text="Cumple">
      <formula>NOT(ISERROR(SEARCH(("Cumple"),(I15))))</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6.5"/>
    <col customWidth="1" min="5" max="5" width="18.63"/>
    <col customWidth="1" min="6" max="11" width="14.88"/>
  </cols>
  <sheetData>
    <row r="1">
      <c r="A1" s="32"/>
      <c r="B1" s="33" t="s">
        <v>175</v>
      </c>
      <c r="C1" s="34"/>
      <c r="D1" s="34"/>
      <c r="E1" s="34"/>
      <c r="F1" s="35"/>
      <c r="G1" s="35"/>
      <c r="H1" s="35"/>
      <c r="I1" s="35"/>
      <c r="J1" s="35"/>
      <c r="K1" s="35"/>
    </row>
    <row r="2" ht="27.75" customHeight="1">
      <c r="A2" s="36" t="s">
        <v>176</v>
      </c>
      <c r="B2" s="37" t="s">
        <v>177</v>
      </c>
      <c r="C2" s="37" t="s">
        <v>2</v>
      </c>
      <c r="D2" s="36" t="s">
        <v>3</v>
      </c>
      <c r="E2" s="38" t="s">
        <v>178</v>
      </c>
      <c r="F2" s="39"/>
      <c r="G2" s="39"/>
      <c r="H2" s="39"/>
      <c r="I2" s="39"/>
      <c r="J2" s="39"/>
      <c r="K2" s="39"/>
    </row>
    <row r="3" ht="27.0" customHeight="1">
      <c r="A3" s="40" t="s">
        <v>179</v>
      </c>
      <c r="B3" s="41" t="s">
        <v>180</v>
      </c>
      <c r="C3" s="41" t="s">
        <v>181</v>
      </c>
      <c r="D3" s="42" t="s">
        <v>182</v>
      </c>
      <c r="E3" s="41"/>
      <c r="F3" s="43"/>
      <c r="G3" s="43"/>
      <c r="H3" s="43"/>
      <c r="I3" s="43"/>
      <c r="J3" s="43"/>
      <c r="K3" s="43"/>
    </row>
    <row r="4" ht="27.0" customHeight="1">
      <c r="A4" s="40" t="s">
        <v>179</v>
      </c>
      <c r="B4" s="41" t="s">
        <v>180</v>
      </c>
      <c r="C4" s="41" t="s">
        <v>183</v>
      </c>
      <c r="D4" s="42" t="s">
        <v>182</v>
      </c>
      <c r="E4" s="41"/>
      <c r="F4" s="43"/>
      <c r="G4" s="43"/>
      <c r="H4" s="43"/>
      <c r="I4" s="43"/>
      <c r="J4" s="43"/>
      <c r="K4" s="43"/>
    </row>
    <row r="5" ht="27.0" customHeight="1">
      <c r="A5" s="40" t="s">
        <v>179</v>
      </c>
      <c r="B5" s="41" t="s">
        <v>180</v>
      </c>
      <c r="C5" s="41" t="s">
        <v>184</v>
      </c>
      <c r="D5" s="42" t="s">
        <v>182</v>
      </c>
      <c r="E5" s="41"/>
      <c r="F5" s="43"/>
      <c r="G5" s="43"/>
      <c r="H5" s="43"/>
      <c r="I5" s="43"/>
      <c r="J5" s="43"/>
      <c r="K5" s="43"/>
    </row>
    <row r="6" ht="27.0" customHeight="1">
      <c r="A6" s="40" t="s">
        <v>179</v>
      </c>
      <c r="B6" s="41" t="s">
        <v>180</v>
      </c>
      <c r="C6" s="41" t="s">
        <v>185</v>
      </c>
      <c r="D6" s="42" t="s">
        <v>182</v>
      </c>
      <c r="E6" s="41"/>
      <c r="F6" s="43"/>
      <c r="G6" s="43"/>
      <c r="H6" s="43"/>
      <c r="I6" s="43"/>
      <c r="J6" s="43"/>
      <c r="K6" s="43"/>
    </row>
    <row r="7" ht="27.0" customHeight="1">
      <c r="A7" s="40" t="s">
        <v>179</v>
      </c>
      <c r="B7" s="41" t="s">
        <v>180</v>
      </c>
      <c r="C7" s="41" t="s">
        <v>66</v>
      </c>
      <c r="D7" s="44" t="s">
        <v>186</v>
      </c>
      <c r="E7" s="40" t="s">
        <v>136</v>
      </c>
      <c r="F7" s="43"/>
      <c r="G7" s="43"/>
      <c r="H7" s="43"/>
      <c r="I7" s="43"/>
      <c r="J7" s="43"/>
      <c r="K7" s="43"/>
    </row>
    <row r="8" ht="27.0" customHeight="1">
      <c r="A8" s="40" t="s">
        <v>179</v>
      </c>
      <c r="B8" s="41" t="s">
        <v>180</v>
      </c>
      <c r="C8" s="41" t="s">
        <v>187</v>
      </c>
      <c r="D8" s="42" t="s">
        <v>182</v>
      </c>
      <c r="E8" s="41"/>
      <c r="F8" s="43"/>
      <c r="G8" s="43"/>
      <c r="H8" s="43"/>
      <c r="I8" s="43"/>
      <c r="J8" s="43"/>
      <c r="K8" s="43"/>
    </row>
    <row r="9" ht="27.0" customHeight="1">
      <c r="A9" s="40" t="s">
        <v>179</v>
      </c>
      <c r="B9" s="41" t="s">
        <v>180</v>
      </c>
      <c r="C9" s="41" t="s">
        <v>188</v>
      </c>
      <c r="D9" s="42" t="s">
        <v>182</v>
      </c>
      <c r="E9" s="41"/>
      <c r="F9" s="43"/>
      <c r="G9" s="43"/>
      <c r="H9" s="43"/>
      <c r="I9" s="43"/>
      <c r="J9" s="43"/>
      <c r="K9" s="43"/>
    </row>
    <row r="10" ht="27.0" customHeight="1">
      <c r="A10" s="40" t="s">
        <v>179</v>
      </c>
      <c r="B10" s="41" t="s">
        <v>180</v>
      </c>
      <c r="C10" s="41" t="s">
        <v>189</v>
      </c>
      <c r="D10" s="44" t="s">
        <v>186</v>
      </c>
      <c r="E10" s="40" t="s">
        <v>136</v>
      </c>
      <c r="F10" s="45"/>
      <c r="G10" s="45"/>
      <c r="H10" s="45"/>
      <c r="I10" s="45"/>
      <c r="J10" s="45"/>
      <c r="K10" s="45"/>
    </row>
    <row r="11" ht="27.0" customHeight="1">
      <c r="A11" s="40" t="s">
        <v>179</v>
      </c>
      <c r="B11" s="41" t="s">
        <v>180</v>
      </c>
      <c r="C11" s="41" t="s">
        <v>190</v>
      </c>
      <c r="D11" s="42" t="s">
        <v>182</v>
      </c>
      <c r="E11" s="40">
        <v>983.0</v>
      </c>
      <c r="F11" s="45"/>
      <c r="G11" s="45"/>
      <c r="H11" s="45"/>
      <c r="I11" s="45"/>
      <c r="J11" s="45"/>
      <c r="K11" s="45"/>
    </row>
    <row r="12" ht="27.0" customHeight="1">
      <c r="A12" s="40" t="s">
        <v>179</v>
      </c>
      <c r="B12" s="41" t="s">
        <v>180</v>
      </c>
      <c r="C12" s="41" t="s">
        <v>191</v>
      </c>
      <c r="D12" s="44" t="s">
        <v>186</v>
      </c>
      <c r="E12" s="40">
        <v>983.0</v>
      </c>
      <c r="F12" s="45"/>
      <c r="G12" s="45"/>
      <c r="H12" s="45"/>
      <c r="I12" s="45"/>
      <c r="J12" s="45"/>
      <c r="K12" s="45"/>
    </row>
    <row r="13" ht="27.0" customHeight="1">
      <c r="A13" s="40" t="s">
        <v>179</v>
      </c>
      <c r="B13" s="41" t="s">
        <v>192</v>
      </c>
      <c r="C13" s="41" t="s">
        <v>193</v>
      </c>
      <c r="D13" s="42" t="s">
        <v>182</v>
      </c>
      <c r="E13" s="41"/>
      <c r="F13" s="43"/>
      <c r="G13" s="43"/>
      <c r="H13" s="43"/>
      <c r="I13" s="43"/>
      <c r="J13" s="43"/>
      <c r="K13" s="43"/>
    </row>
    <row r="14" ht="27.0" customHeight="1">
      <c r="A14" s="40" t="s">
        <v>179</v>
      </c>
      <c r="B14" s="41" t="s">
        <v>192</v>
      </c>
      <c r="C14" s="41" t="s">
        <v>194</v>
      </c>
      <c r="D14" s="42" t="s">
        <v>182</v>
      </c>
      <c r="E14" s="41"/>
      <c r="F14" s="43"/>
      <c r="G14" s="43"/>
      <c r="H14" s="43"/>
      <c r="I14" s="43"/>
      <c r="J14" s="43"/>
      <c r="K14" s="43"/>
    </row>
    <row r="15" ht="27.0" customHeight="1">
      <c r="A15" s="40" t="s">
        <v>179</v>
      </c>
      <c r="B15" s="41" t="s">
        <v>192</v>
      </c>
      <c r="C15" s="41" t="s">
        <v>195</v>
      </c>
      <c r="D15" s="42" t="s">
        <v>182</v>
      </c>
      <c r="E15" s="41"/>
      <c r="F15" s="43"/>
      <c r="G15" s="43"/>
      <c r="H15" s="43"/>
      <c r="I15" s="43"/>
      <c r="J15" s="43"/>
      <c r="K15" s="43"/>
    </row>
    <row r="16" ht="27.0" customHeight="1">
      <c r="A16" s="40" t="s">
        <v>179</v>
      </c>
      <c r="B16" s="41" t="s">
        <v>192</v>
      </c>
      <c r="C16" s="41" t="s">
        <v>196</v>
      </c>
      <c r="D16" s="42" t="s">
        <v>182</v>
      </c>
      <c r="E16" s="41"/>
      <c r="F16" s="43"/>
      <c r="G16" s="43"/>
      <c r="H16" s="43"/>
      <c r="I16" s="43"/>
      <c r="J16" s="43"/>
      <c r="K16" s="43"/>
    </row>
    <row r="17" ht="27.0" customHeight="1">
      <c r="A17" s="40" t="s">
        <v>179</v>
      </c>
      <c r="B17" s="41" t="s">
        <v>192</v>
      </c>
      <c r="C17" s="41" t="s">
        <v>197</v>
      </c>
      <c r="D17" s="42" t="s">
        <v>182</v>
      </c>
      <c r="E17" s="41"/>
      <c r="F17" s="43"/>
      <c r="G17" s="43"/>
      <c r="H17" s="43"/>
      <c r="I17" s="43"/>
      <c r="J17" s="43"/>
      <c r="K17" s="43"/>
    </row>
    <row r="18" ht="27.0" customHeight="1">
      <c r="A18" s="40" t="s">
        <v>179</v>
      </c>
      <c r="B18" s="41" t="s">
        <v>192</v>
      </c>
      <c r="C18" s="41" t="s">
        <v>198</v>
      </c>
      <c r="D18" s="44" t="s">
        <v>186</v>
      </c>
      <c r="E18" s="40" t="s">
        <v>136</v>
      </c>
      <c r="F18" s="45"/>
      <c r="G18" s="45"/>
      <c r="H18" s="45"/>
      <c r="I18" s="45"/>
      <c r="J18" s="45"/>
      <c r="K18" s="45"/>
    </row>
    <row r="19" ht="27.0" customHeight="1">
      <c r="A19" s="40" t="s">
        <v>179</v>
      </c>
      <c r="B19" s="40" t="s">
        <v>192</v>
      </c>
      <c r="C19" s="40" t="s">
        <v>199</v>
      </c>
      <c r="D19" s="42" t="s">
        <v>182</v>
      </c>
      <c r="E19" s="40"/>
      <c r="F19" s="45"/>
      <c r="G19" s="45"/>
      <c r="H19" s="45"/>
      <c r="I19" s="45"/>
      <c r="J19" s="45"/>
      <c r="K19" s="45"/>
    </row>
    <row r="20" ht="27.0" customHeight="1">
      <c r="A20" s="40" t="s">
        <v>179</v>
      </c>
      <c r="B20" s="41" t="s">
        <v>200</v>
      </c>
      <c r="C20" s="41" t="s">
        <v>201</v>
      </c>
      <c r="D20" s="42" t="s">
        <v>182</v>
      </c>
      <c r="E20" s="41"/>
      <c r="F20" s="43"/>
      <c r="G20" s="43"/>
      <c r="H20" s="43"/>
      <c r="I20" s="43"/>
      <c r="J20" s="43"/>
      <c r="K20" s="43"/>
    </row>
    <row r="21" ht="27.0" customHeight="1">
      <c r="A21" s="40" t="s">
        <v>179</v>
      </c>
      <c r="B21" s="41" t="s">
        <v>200</v>
      </c>
      <c r="C21" s="41" t="s">
        <v>202</v>
      </c>
      <c r="D21" s="42" t="s">
        <v>182</v>
      </c>
      <c r="E21" s="41"/>
      <c r="F21" s="43"/>
      <c r="G21" s="43"/>
      <c r="H21" s="43"/>
      <c r="I21" s="43"/>
      <c r="J21" s="43"/>
      <c r="K21" s="43"/>
    </row>
    <row r="22" ht="27.0" customHeight="1">
      <c r="A22" s="40" t="s">
        <v>179</v>
      </c>
      <c r="B22" s="41" t="s">
        <v>200</v>
      </c>
      <c r="C22" s="41" t="s">
        <v>203</v>
      </c>
      <c r="D22" s="42" t="s">
        <v>182</v>
      </c>
      <c r="E22" s="41"/>
      <c r="F22" s="43"/>
      <c r="G22" s="43"/>
      <c r="H22" s="43"/>
      <c r="I22" s="43"/>
      <c r="J22" s="43"/>
      <c r="K22" s="43"/>
    </row>
    <row r="23" ht="27.0" customHeight="1">
      <c r="A23" s="40" t="s">
        <v>179</v>
      </c>
      <c r="B23" s="41" t="s">
        <v>200</v>
      </c>
      <c r="C23" s="41" t="s">
        <v>204</v>
      </c>
      <c r="D23" s="42" t="s">
        <v>182</v>
      </c>
      <c r="E23" s="41"/>
      <c r="F23" s="43"/>
      <c r="G23" s="43"/>
      <c r="H23" s="43"/>
      <c r="I23" s="43"/>
      <c r="J23" s="43"/>
      <c r="K23" s="43"/>
    </row>
    <row r="24" ht="27.0" customHeight="1">
      <c r="A24" s="40" t="s">
        <v>179</v>
      </c>
      <c r="B24" s="41" t="s">
        <v>200</v>
      </c>
      <c r="C24" s="41" t="s">
        <v>205</v>
      </c>
      <c r="D24" s="42" t="s">
        <v>182</v>
      </c>
      <c r="E24" s="41"/>
      <c r="F24" s="43"/>
      <c r="G24" s="43"/>
      <c r="H24" s="43"/>
      <c r="I24" s="43"/>
      <c r="J24" s="43"/>
      <c r="K24" s="43"/>
    </row>
    <row r="25" ht="27.0" customHeight="1">
      <c r="A25" s="40" t="s">
        <v>179</v>
      </c>
      <c r="B25" s="41" t="s">
        <v>200</v>
      </c>
      <c r="C25" s="40" t="s">
        <v>206</v>
      </c>
      <c r="D25" s="44" t="s">
        <v>186</v>
      </c>
      <c r="E25" s="40" t="s">
        <v>207</v>
      </c>
      <c r="F25" s="45"/>
      <c r="G25" s="45"/>
      <c r="H25" s="45"/>
      <c r="I25" s="45"/>
      <c r="J25" s="45"/>
      <c r="K25" s="45"/>
    </row>
    <row r="26" ht="27.0" customHeight="1">
      <c r="A26" s="40" t="s">
        <v>179</v>
      </c>
      <c r="B26" s="41" t="s">
        <v>200</v>
      </c>
      <c r="C26" s="40" t="s">
        <v>208</v>
      </c>
      <c r="D26" s="42" t="s">
        <v>182</v>
      </c>
      <c r="E26" s="40"/>
      <c r="F26" s="45"/>
      <c r="G26" s="45"/>
      <c r="H26" s="45"/>
      <c r="I26" s="45"/>
      <c r="J26" s="45"/>
      <c r="K26" s="45"/>
    </row>
    <row r="27" ht="27.0" customHeight="1">
      <c r="A27" s="40" t="s">
        <v>179</v>
      </c>
      <c r="B27" s="41" t="s">
        <v>200</v>
      </c>
      <c r="C27" s="40" t="s">
        <v>209</v>
      </c>
      <c r="D27" s="42" t="s">
        <v>182</v>
      </c>
      <c r="E27" s="40"/>
      <c r="F27" s="45"/>
      <c r="G27" s="45"/>
      <c r="H27" s="45"/>
      <c r="I27" s="45"/>
      <c r="J27" s="45"/>
      <c r="K27" s="45"/>
    </row>
    <row r="28" ht="27.0" customHeight="1">
      <c r="A28" s="40" t="s">
        <v>179</v>
      </c>
      <c r="B28" s="41" t="s">
        <v>200</v>
      </c>
      <c r="C28" s="41" t="s">
        <v>210</v>
      </c>
      <c r="D28" s="42" t="s">
        <v>182</v>
      </c>
      <c r="E28" s="41"/>
      <c r="F28" s="43"/>
      <c r="G28" s="43"/>
      <c r="H28" s="43"/>
      <c r="I28" s="43"/>
      <c r="J28" s="43"/>
      <c r="K28" s="43"/>
    </row>
    <row r="29" ht="27.0" customHeight="1">
      <c r="A29" s="40" t="s">
        <v>179</v>
      </c>
      <c r="B29" s="41" t="s">
        <v>200</v>
      </c>
      <c r="C29" s="41" t="s">
        <v>211</v>
      </c>
      <c r="D29" s="42" t="s">
        <v>182</v>
      </c>
      <c r="E29" s="41"/>
      <c r="F29" s="43"/>
      <c r="G29" s="43"/>
      <c r="H29" s="43"/>
      <c r="I29" s="43"/>
      <c r="J29" s="43"/>
      <c r="K29" s="43"/>
    </row>
    <row r="30" ht="27.0" customHeight="1">
      <c r="A30" s="40" t="s">
        <v>179</v>
      </c>
      <c r="B30" s="41" t="s">
        <v>200</v>
      </c>
      <c r="C30" s="41" t="s">
        <v>212</v>
      </c>
      <c r="D30" s="42" t="s">
        <v>182</v>
      </c>
      <c r="E30" s="41"/>
      <c r="F30" s="43"/>
      <c r="G30" s="43"/>
      <c r="H30" s="43"/>
      <c r="I30" s="43"/>
      <c r="J30" s="43"/>
      <c r="K30" s="43"/>
    </row>
    <row r="31" ht="27.0" customHeight="1">
      <c r="A31" s="40" t="s">
        <v>179</v>
      </c>
      <c r="B31" s="41" t="s">
        <v>200</v>
      </c>
      <c r="C31" s="41" t="s">
        <v>213</v>
      </c>
      <c r="D31" s="42" t="s">
        <v>182</v>
      </c>
      <c r="E31" s="41"/>
      <c r="F31" s="43"/>
      <c r="G31" s="43"/>
      <c r="H31" s="43"/>
      <c r="I31" s="43"/>
      <c r="J31" s="43"/>
      <c r="K31" s="43"/>
    </row>
    <row r="32" ht="27.0" customHeight="1">
      <c r="A32" s="40" t="s">
        <v>179</v>
      </c>
      <c r="B32" s="41" t="s">
        <v>200</v>
      </c>
      <c r="C32" s="41" t="s">
        <v>214</v>
      </c>
      <c r="D32" s="42" t="s">
        <v>182</v>
      </c>
      <c r="E32" s="41"/>
      <c r="F32" s="43"/>
      <c r="G32" s="43"/>
      <c r="H32" s="43"/>
      <c r="I32" s="43"/>
      <c r="J32" s="43"/>
      <c r="K32" s="43"/>
    </row>
    <row r="33" ht="27.0" customHeight="1">
      <c r="A33" s="40" t="s">
        <v>179</v>
      </c>
      <c r="B33" s="41" t="s">
        <v>200</v>
      </c>
      <c r="C33" s="41" t="s">
        <v>215</v>
      </c>
      <c r="D33" s="42" t="s">
        <v>182</v>
      </c>
      <c r="E33" s="41"/>
      <c r="F33" s="43"/>
      <c r="G33" s="43"/>
      <c r="H33" s="43"/>
      <c r="I33" s="43"/>
      <c r="J33" s="43"/>
      <c r="K33" s="43"/>
    </row>
    <row r="34" ht="27.0" customHeight="1">
      <c r="A34" s="40" t="s">
        <v>179</v>
      </c>
      <c r="B34" s="41" t="s">
        <v>200</v>
      </c>
      <c r="C34" s="41" t="s">
        <v>216</v>
      </c>
      <c r="D34" s="42" t="s">
        <v>182</v>
      </c>
      <c r="E34" s="41"/>
      <c r="F34" s="43"/>
      <c r="G34" s="43"/>
      <c r="H34" s="43"/>
      <c r="I34" s="43"/>
      <c r="J34" s="43"/>
      <c r="K34" s="43"/>
    </row>
    <row r="35" ht="27.0" customHeight="1">
      <c r="A35" s="40" t="s">
        <v>179</v>
      </c>
      <c r="B35" s="41" t="s">
        <v>217</v>
      </c>
      <c r="C35" s="41" t="s">
        <v>218</v>
      </c>
      <c r="D35" s="42" t="s">
        <v>182</v>
      </c>
      <c r="E35" s="41"/>
      <c r="F35" s="43"/>
      <c r="G35" s="43"/>
      <c r="H35" s="43"/>
      <c r="I35" s="43"/>
      <c r="J35" s="43"/>
      <c r="K35" s="43"/>
    </row>
    <row r="36" ht="27.0" customHeight="1">
      <c r="A36" s="40" t="s">
        <v>179</v>
      </c>
      <c r="B36" s="41" t="s">
        <v>217</v>
      </c>
      <c r="C36" s="41" t="s">
        <v>219</v>
      </c>
      <c r="D36" s="42" t="s">
        <v>182</v>
      </c>
      <c r="E36" s="41"/>
      <c r="F36" s="43"/>
      <c r="G36" s="43"/>
      <c r="H36" s="43"/>
      <c r="I36" s="43"/>
      <c r="J36" s="43"/>
      <c r="K36" s="43"/>
    </row>
    <row r="37" ht="27.0" customHeight="1">
      <c r="A37" s="40" t="s">
        <v>179</v>
      </c>
      <c r="B37" s="41" t="s">
        <v>217</v>
      </c>
      <c r="C37" s="41" t="s">
        <v>220</v>
      </c>
      <c r="D37" s="42" t="s">
        <v>182</v>
      </c>
      <c r="E37" s="41"/>
      <c r="F37" s="43"/>
      <c r="G37" s="43"/>
      <c r="H37" s="43"/>
      <c r="I37" s="43"/>
      <c r="J37" s="43"/>
      <c r="K37" s="43"/>
    </row>
    <row r="38" ht="27.0" customHeight="1">
      <c r="A38" s="40" t="s">
        <v>179</v>
      </c>
      <c r="B38" s="41" t="s">
        <v>217</v>
      </c>
      <c r="C38" s="41" t="s">
        <v>221</v>
      </c>
      <c r="D38" s="42" t="s">
        <v>182</v>
      </c>
      <c r="E38" s="41"/>
      <c r="F38" s="43"/>
      <c r="G38" s="43"/>
      <c r="H38" s="43"/>
      <c r="I38" s="43"/>
      <c r="J38" s="43"/>
      <c r="K38" s="43"/>
    </row>
    <row r="39" ht="27.0" customHeight="1">
      <c r="A39" s="40" t="s">
        <v>179</v>
      </c>
      <c r="B39" s="41" t="s">
        <v>217</v>
      </c>
      <c r="C39" s="41" t="s">
        <v>222</v>
      </c>
      <c r="D39" s="42" t="s">
        <v>182</v>
      </c>
      <c r="E39" s="41"/>
      <c r="F39" s="43"/>
      <c r="G39" s="43"/>
      <c r="H39" s="43"/>
      <c r="I39" s="43"/>
      <c r="J39" s="43"/>
      <c r="K39" s="43"/>
    </row>
    <row r="40" ht="27.0" customHeight="1">
      <c r="A40" s="40" t="s">
        <v>179</v>
      </c>
      <c r="B40" s="41" t="s">
        <v>217</v>
      </c>
      <c r="C40" s="41" t="s">
        <v>223</v>
      </c>
      <c r="D40" s="44" t="s">
        <v>186</v>
      </c>
      <c r="E40" s="40" t="s">
        <v>224</v>
      </c>
      <c r="F40" s="45"/>
      <c r="G40" s="45"/>
      <c r="H40" s="45"/>
      <c r="I40" s="45"/>
      <c r="J40" s="45"/>
      <c r="K40" s="45"/>
    </row>
    <row r="41" ht="27.0" customHeight="1">
      <c r="A41" s="40" t="s">
        <v>179</v>
      </c>
      <c r="B41" s="41" t="s">
        <v>217</v>
      </c>
      <c r="C41" s="41" t="s">
        <v>225</v>
      </c>
      <c r="D41" s="44" t="s">
        <v>186</v>
      </c>
      <c r="E41" s="40" t="s">
        <v>224</v>
      </c>
      <c r="F41" s="45"/>
      <c r="G41" s="45"/>
      <c r="H41" s="45"/>
      <c r="I41" s="45"/>
      <c r="J41" s="45"/>
      <c r="K41" s="45"/>
    </row>
    <row r="42" ht="27.0" customHeight="1">
      <c r="A42" s="40" t="s">
        <v>179</v>
      </c>
      <c r="B42" s="41" t="s">
        <v>217</v>
      </c>
      <c r="C42" s="46" t="s">
        <v>226</v>
      </c>
      <c r="D42" s="44" t="s">
        <v>186</v>
      </c>
      <c r="E42" s="40" t="s">
        <v>224</v>
      </c>
      <c r="F42" s="45"/>
      <c r="G42" s="45"/>
      <c r="H42" s="45"/>
      <c r="I42" s="45"/>
      <c r="J42" s="45"/>
      <c r="K42" s="45"/>
    </row>
    <row r="43" ht="27.0" customHeight="1">
      <c r="A43" s="40" t="s">
        <v>179</v>
      </c>
      <c r="B43" s="41" t="s">
        <v>227</v>
      </c>
      <c r="C43" s="41" t="s">
        <v>228</v>
      </c>
      <c r="D43" s="42" t="s">
        <v>182</v>
      </c>
      <c r="E43" s="41"/>
      <c r="F43" s="43"/>
      <c r="G43" s="43"/>
      <c r="H43" s="43"/>
      <c r="I43" s="43"/>
      <c r="J43" s="43"/>
      <c r="K43" s="43"/>
    </row>
    <row r="44" ht="27.0" customHeight="1">
      <c r="A44" s="40" t="s">
        <v>179</v>
      </c>
      <c r="B44" s="41" t="s">
        <v>227</v>
      </c>
      <c r="C44" s="41" t="s">
        <v>229</v>
      </c>
      <c r="D44" s="42" t="s">
        <v>182</v>
      </c>
      <c r="E44" s="41"/>
      <c r="F44" s="43"/>
      <c r="G44" s="43"/>
      <c r="H44" s="43"/>
      <c r="I44" s="43"/>
      <c r="J44" s="43"/>
      <c r="K44" s="43"/>
    </row>
    <row r="45" ht="27.0" customHeight="1">
      <c r="A45" s="40" t="s">
        <v>179</v>
      </c>
      <c r="B45" s="41" t="s">
        <v>227</v>
      </c>
      <c r="C45" s="41" t="s">
        <v>230</v>
      </c>
      <c r="D45" s="42" t="s">
        <v>182</v>
      </c>
      <c r="E45" s="41"/>
      <c r="F45" s="43"/>
      <c r="G45" s="43"/>
      <c r="H45" s="43"/>
      <c r="I45" s="43"/>
      <c r="J45" s="43"/>
      <c r="K45" s="43"/>
    </row>
    <row r="46" ht="27.0" customHeight="1">
      <c r="A46" s="40" t="s">
        <v>179</v>
      </c>
      <c r="B46" s="41" t="s">
        <v>227</v>
      </c>
      <c r="C46" s="41" t="s">
        <v>231</v>
      </c>
      <c r="D46" s="42" t="s">
        <v>182</v>
      </c>
      <c r="E46" s="41"/>
      <c r="F46" s="43"/>
      <c r="G46" s="43"/>
      <c r="H46" s="43"/>
      <c r="I46" s="43"/>
      <c r="J46" s="43"/>
      <c r="K46" s="43"/>
    </row>
    <row r="47" ht="27.0" customHeight="1">
      <c r="A47" s="40" t="s">
        <v>179</v>
      </c>
      <c r="B47" s="41" t="s">
        <v>227</v>
      </c>
      <c r="C47" s="41" t="s">
        <v>232</v>
      </c>
      <c r="D47" s="42" t="s">
        <v>182</v>
      </c>
      <c r="E47" s="41"/>
      <c r="F47" s="43"/>
      <c r="G47" s="43"/>
      <c r="H47" s="43"/>
      <c r="I47" s="43"/>
      <c r="J47" s="43"/>
      <c r="K47" s="43"/>
    </row>
    <row r="48" ht="27.0" customHeight="1">
      <c r="A48" s="40" t="s">
        <v>179</v>
      </c>
      <c r="B48" s="41" t="s">
        <v>227</v>
      </c>
      <c r="C48" s="41" t="s">
        <v>233</v>
      </c>
      <c r="D48" s="42" t="s">
        <v>182</v>
      </c>
      <c r="E48" s="41"/>
      <c r="F48" s="43"/>
      <c r="G48" s="43"/>
      <c r="H48" s="43"/>
      <c r="I48" s="43"/>
      <c r="J48" s="43"/>
      <c r="K48" s="43"/>
    </row>
    <row r="49" ht="27.0" customHeight="1">
      <c r="A49" s="40" t="s">
        <v>179</v>
      </c>
      <c r="B49" s="41" t="s">
        <v>227</v>
      </c>
      <c r="C49" s="41" t="s">
        <v>234</v>
      </c>
      <c r="D49" s="42" t="s">
        <v>182</v>
      </c>
      <c r="E49" s="41"/>
      <c r="F49" s="43"/>
      <c r="G49" s="43"/>
      <c r="H49" s="43"/>
      <c r="I49" s="43"/>
      <c r="J49" s="43"/>
      <c r="K49" s="43"/>
    </row>
    <row r="50" ht="27.0" customHeight="1">
      <c r="A50" s="40" t="s">
        <v>179</v>
      </c>
      <c r="B50" s="41" t="s">
        <v>227</v>
      </c>
      <c r="C50" s="41" t="s">
        <v>235</v>
      </c>
      <c r="D50" s="42" t="s">
        <v>182</v>
      </c>
      <c r="E50" s="41"/>
      <c r="F50" s="43"/>
      <c r="G50" s="43"/>
      <c r="H50" s="43"/>
      <c r="I50" s="43"/>
      <c r="J50" s="43"/>
      <c r="K50" s="43"/>
    </row>
    <row r="51" ht="27.0" customHeight="1">
      <c r="A51" s="40" t="s">
        <v>179</v>
      </c>
      <c r="B51" s="41" t="s">
        <v>227</v>
      </c>
      <c r="C51" s="41" t="s">
        <v>236</v>
      </c>
      <c r="D51" s="42" t="s">
        <v>182</v>
      </c>
      <c r="E51" s="41"/>
      <c r="F51" s="43"/>
      <c r="G51" s="43"/>
      <c r="H51" s="43"/>
      <c r="I51" s="43"/>
      <c r="J51" s="43"/>
      <c r="K51" s="43"/>
    </row>
    <row r="52" ht="27.0" customHeight="1">
      <c r="A52" s="40" t="s">
        <v>179</v>
      </c>
      <c r="B52" s="41" t="s">
        <v>227</v>
      </c>
      <c r="C52" s="41" t="s">
        <v>237</v>
      </c>
      <c r="D52" s="42" t="s">
        <v>182</v>
      </c>
      <c r="E52" s="41"/>
      <c r="F52" s="43"/>
      <c r="G52" s="43"/>
      <c r="H52" s="43"/>
      <c r="I52" s="43"/>
      <c r="J52" s="43"/>
      <c r="K52" s="43"/>
    </row>
    <row r="53" ht="27.0" customHeight="1">
      <c r="A53" s="40" t="s">
        <v>179</v>
      </c>
      <c r="B53" s="41" t="s">
        <v>227</v>
      </c>
      <c r="C53" s="41" t="s">
        <v>238</v>
      </c>
      <c r="D53" s="42" t="s">
        <v>182</v>
      </c>
      <c r="E53" s="41"/>
      <c r="F53" s="43"/>
      <c r="G53" s="43"/>
      <c r="H53" s="43"/>
      <c r="I53" s="43"/>
      <c r="J53" s="43"/>
      <c r="K53" s="43"/>
    </row>
    <row r="54" ht="27.0" customHeight="1">
      <c r="A54" s="40" t="s">
        <v>179</v>
      </c>
      <c r="B54" s="41" t="s">
        <v>227</v>
      </c>
      <c r="C54" s="41" t="s">
        <v>239</v>
      </c>
      <c r="D54" s="42" t="s">
        <v>182</v>
      </c>
      <c r="E54" s="41"/>
      <c r="F54" s="43"/>
      <c r="G54" s="43"/>
      <c r="H54" s="43"/>
      <c r="I54" s="43"/>
      <c r="J54" s="43"/>
      <c r="K54" s="43"/>
    </row>
    <row r="55" ht="27.0" customHeight="1">
      <c r="A55" s="40" t="s">
        <v>179</v>
      </c>
      <c r="B55" s="41" t="s">
        <v>240</v>
      </c>
      <c r="C55" s="41" t="s">
        <v>241</v>
      </c>
      <c r="D55" s="42" t="s">
        <v>182</v>
      </c>
      <c r="E55" s="41"/>
      <c r="F55" s="43"/>
      <c r="G55" s="43"/>
      <c r="H55" s="43"/>
      <c r="I55" s="43"/>
      <c r="J55" s="43"/>
      <c r="K55" s="43"/>
    </row>
    <row r="56" ht="27.0" customHeight="1">
      <c r="A56" s="40" t="s">
        <v>179</v>
      </c>
      <c r="B56" s="41" t="s">
        <v>240</v>
      </c>
      <c r="C56" s="41" t="s">
        <v>242</v>
      </c>
      <c r="D56" s="42" t="s">
        <v>182</v>
      </c>
      <c r="E56" s="41"/>
      <c r="F56" s="43"/>
      <c r="G56" s="43"/>
      <c r="H56" s="43"/>
      <c r="I56" s="43"/>
      <c r="J56" s="43"/>
      <c r="K56" s="43"/>
    </row>
    <row r="57" ht="27.0" customHeight="1">
      <c r="A57" s="40" t="s">
        <v>179</v>
      </c>
      <c r="B57" s="41" t="s">
        <v>240</v>
      </c>
      <c r="C57" s="41" t="s">
        <v>243</v>
      </c>
      <c r="D57" s="44" t="s">
        <v>186</v>
      </c>
      <c r="E57" s="40" t="s">
        <v>244</v>
      </c>
      <c r="F57" s="45"/>
      <c r="G57" s="45"/>
      <c r="H57" s="45"/>
      <c r="I57" s="45"/>
      <c r="J57" s="45"/>
      <c r="K57" s="45"/>
    </row>
    <row r="58" ht="27.0" customHeight="1">
      <c r="A58" s="40" t="s">
        <v>179</v>
      </c>
      <c r="B58" s="41" t="s">
        <v>240</v>
      </c>
      <c r="C58" s="41" t="s">
        <v>245</v>
      </c>
      <c r="D58" s="42" t="s">
        <v>182</v>
      </c>
      <c r="E58" s="41"/>
      <c r="F58" s="43"/>
      <c r="G58" s="43"/>
      <c r="H58" s="43"/>
      <c r="I58" s="43"/>
      <c r="J58" s="43"/>
      <c r="K58" s="43"/>
    </row>
    <row r="59" ht="27.0" customHeight="1">
      <c r="A59" s="40" t="s">
        <v>179</v>
      </c>
      <c r="B59" s="41" t="s">
        <v>240</v>
      </c>
      <c r="C59" s="41" t="s">
        <v>246</v>
      </c>
      <c r="D59" s="42" t="s">
        <v>182</v>
      </c>
      <c r="E59" s="41"/>
      <c r="F59" s="43"/>
      <c r="G59" s="43"/>
      <c r="H59" s="43"/>
      <c r="I59" s="43"/>
      <c r="J59" s="43"/>
      <c r="K59" s="43"/>
    </row>
    <row r="60" ht="27.0" customHeight="1">
      <c r="A60" s="40" t="s">
        <v>179</v>
      </c>
      <c r="B60" s="41" t="s">
        <v>240</v>
      </c>
      <c r="C60" s="40" t="s">
        <v>247</v>
      </c>
      <c r="D60" s="44" t="s">
        <v>182</v>
      </c>
      <c r="E60" s="40" t="s">
        <v>248</v>
      </c>
      <c r="F60" s="45"/>
      <c r="G60" s="45"/>
      <c r="H60" s="45"/>
      <c r="I60" s="45"/>
      <c r="J60" s="45"/>
      <c r="K60" s="45"/>
    </row>
    <row r="61" ht="27.0" customHeight="1">
      <c r="A61" s="40" t="s">
        <v>179</v>
      </c>
      <c r="B61" s="41" t="s">
        <v>240</v>
      </c>
      <c r="C61" s="40" t="s">
        <v>249</v>
      </c>
      <c r="D61" s="44" t="s">
        <v>182</v>
      </c>
      <c r="E61" s="40" t="s">
        <v>248</v>
      </c>
      <c r="F61" s="45"/>
      <c r="G61" s="45"/>
      <c r="H61" s="45"/>
      <c r="I61" s="45"/>
      <c r="J61" s="45"/>
      <c r="K61" s="45"/>
    </row>
    <row r="62" ht="27.0" customHeight="1">
      <c r="A62" s="40" t="s">
        <v>179</v>
      </c>
      <c r="B62" s="41" t="s">
        <v>240</v>
      </c>
      <c r="C62" s="41" t="s">
        <v>250</v>
      </c>
      <c r="D62" s="42" t="s">
        <v>182</v>
      </c>
      <c r="E62" s="41"/>
      <c r="F62" s="43"/>
      <c r="G62" s="43"/>
      <c r="H62" s="43"/>
      <c r="I62" s="43"/>
      <c r="J62" s="43"/>
      <c r="K62" s="43"/>
    </row>
    <row r="63" ht="27.0" customHeight="1">
      <c r="A63" s="40" t="s">
        <v>179</v>
      </c>
      <c r="B63" s="41" t="s">
        <v>240</v>
      </c>
      <c r="C63" s="41" t="s">
        <v>251</v>
      </c>
      <c r="D63" s="44" t="s">
        <v>186</v>
      </c>
      <c r="E63" s="40" t="s">
        <v>244</v>
      </c>
      <c r="F63" s="45"/>
      <c r="G63" s="45"/>
      <c r="H63" s="45"/>
      <c r="I63" s="45"/>
      <c r="J63" s="45"/>
      <c r="K63" s="45"/>
    </row>
    <row r="64" ht="27.0" customHeight="1">
      <c r="A64" s="40" t="s">
        <v>179</v>
      </c>
      <c r="B64" s="41" t="s">
        <v>240</v>
      </c>
      <c r="C64" s="41" t="s">
        <v>252</v>
      </c>
      <c r="D64" s="44" t="s">
        <v>186</v>
      </c>
      <c r="E64" s="40" t="s">
        <v>253</v>
      </c>
      <c r="F64" s="45"/>
      <c r="G64" s="45"/>
      <c r="H64" s="45"/>
      <c r="I64" s="45"/>
      <c r="J64" s="45"/>
      <c r="K64" s="45"/>
    </row>
    <row r="65" ht="27.0" customHeight="1">
      <c r="A65" s="40" t="s">
        <v>179</v>
      </c>
      <c r="B65" s="41" t="s">
        <v>254</v>
      </c>
      <c r="C65" s="41" t="s">
        <v>255</v>
      </c>
      <c r="D65" s="42" t="s">
        <v>182</v>
      </c>
      <c r="E65" s="41"/>
      <c r="F65" s="43"/>
      <c r="G65" s="43"/>
      <c r="H65" s="43"/>
      <c r="I65" s="43"/>
      <c r="J65" s="43"/>
      <c r="K65" s="43"/>
    </row>
    <row r="66" ht="27.0" customHeight="1">
      <c r="A66" s="40" t="s">
        <v>179</v>
      </c>
      <c r="B66" s="41" t="s">
        <v>254</v>
      </c>
      <c r="C66" s="40" t="s">
        <v>256</v>
      </c>
      <c r="D66" s="42" t="s">
        <v>182</v>
      </c>
      <c r="E66" s="41"/>
      <c r="F66" s="43"/>
      <c r="G66" s="43"/>
      <c r="H66" s="43"/>
      <c r="I66" s="43"/>
      <c r="J66" s="43"/>
      <c r="K66" s="43"/>
    </row>
    <row r="67" ht="27.0" customHeight="1">
      <c r="A67" s="40" t="s">
        <v>179</v>
      </c>
      <c r="B67" s="41" t="s">
        <v>254</v>
      </c>
      <c r="C67" s="41" t="s">
        <v>257</v>
      </c>
      <c r="D67" s="42" t="s">
        <v>182</v>
      </c>
      <c r="E67" s="41"/>
      <c r="F67" s="43"/>
      <c r="G67" s="43"/>
      <c r="H67" s="43"/>
      <c r="I67" s="43"/>
      <c r="J67" s="43"/>
      <c r="K67" s="43"/>
    </row>
    <row r="68" ht="27.0" customHeight="1">
      <c r="A68" s="40" t="s">
        <v>179</v>
      </c>
      <c r="B68" s="41" t="s">
        <v>258</v>
      </c>
      <c r="C68" s="41" t="s">
        <v>259</v>
      </c>
      <c r="D68" s="42" t="s">
        <v>182</v>
      </c>
      <c r="E68" s="41"/>
      <c r="F68" s="43"/>
      <c r="G68" s="43"/>
      <c r="H68" s="43"/>
      <c r="I68" s="43"/>
      <c r="J68" s="43"/>
      <c r="K68" s="43"/>
    </row>
    <row r="69" ht="27.0" customHeight="1">
      <c r="A69" s="40" t="s">
        <v>179</v>
      </c>
      <c r="B69" s="41" t="s">
        <v>258</v>
      </c>
      <c r="C69" s="41" t="s">
        <v>260</v>
      </c>
      <c r="D69" s="42" t="s">
        <v>182</v>
      </c>
      <c r="E69" s="41"/>
      <c r="F69" s="43"/>
      <c r="G69" s="43"/>
      <c r="H69" s="43"/>
      <c r="I69" s="43"/>
      <c r="J69" s="43"/>
      <c r="K69" s="43"/>
    </row>
    <row r="70" ht="27.0" customHeight="1">
      <c r="A70" s="40" t="s">
        <v>179</v>
      </c>
      <c r="B70" s="41" t="s">
        <v>258</v>
      </c>
      <c r="C70" s="41" t="s">
        <v>261</v>
      </c>
      <c r="D70" s="42" t="s">
        <v>182</v>
      </c>
      <c r="E70" s="41"/>
      <c r="F70" s="43"/>
      <c r="G70" s="43"/>
      <c r="H70" s="43"/>
      <c r="I70" s="43"/>
      <c r="J70" s="43"/>
      <c r="K70" s="43"/>
    </row>
    <row r="71" ht="27.0" customHeight="1">
      <c r="A71" s="40" t="s">
        <v>179</v>
      </c>
      <c r="B71" s="41" t="s">
        <v>258</v>
      </c>
      <c r="C71" s="41" t="s">
        <v>262</v>
      </c>
      <c r="D71" s="42" t="s">
        <v>182</v>
      </c>
      <c r="E71" s="41"/>
      <c r="F71" s="43"/>
      <c r="G71" s="43"/>
      <c r="H71" s="43"/>
      <c r="I71" s="43"/>
      <c r="J71" s="43"/>
      <c r="K71" s="43"/>
    </row>
    <row r="72" ht="27.0" customHeight="1">
      <c r="A72" s="40" t="s">
        <v>179</v>
      </c>
      <c r="B72" s="41" t="s">
        <v>258</v>
      </c>
      <c r="C72" s="41" t="s">
        <v>263</v>
      </c>
      <c r="D72" s="42" t="s">
        <v>182</v>
      </c>
      <c r="E72" s="41"/>
      <c r="F72" s="43"/>
      <c r="G72" s="43"/>
      <c r="H72" s="43"/>
      <c r="I72" s="43"/>
      <c r="J72" s="43"/>
      <c r="K72" s="43"/>
    </row>
    <row r="73" ht="27.0" customHeight="1">
      <c r="A73" s="40" t="s">
        <v>179</v>
      </c>
      <c r="B73" s="41" t="s">
        <v>258</v>
      </c>
      <c r="C73" s="41" t="s">
        <v>264</v>
      </c>
      <c r="D73" s="42" t="s">
        <v>182</v>
      </c>
      <c r="E73" s="41"/>
      <c r="F73" s="43"/>
      <c r="G73" s="43"/>
      <c r="H73" s="43"/>
      <c r="I73" s="43"/>
      <c r="J73" s="43"/>
      <c r="K73" s="43"/>
    </row>
    <row r="74" ht="27.0" customHeight="1">
      <c r="A74" s="40" t="s">
        <v>179</v>
      </c>
      <c r="B74" s="41" t="s">
        <v>258</v>
      </c>
      <c r="C74" s="40" t="s">
        <v>265</v>
      </c>
      <c r="D74" s="44" t="s">
        <v>186</v>
      </c>
      <c r="E74" s="40" t="s">
        <v>224</v>
      </c>
      <c r="F74" s="45"/>
      <c r="G74" s="45"/>
      <c r="H74" s="45"/>
      <c r="I74" s="45"/>
      <c r="J74" s="45"/>
      <c r="K74" s="45"/>
    </row>
    <row r="75" ht="27.0" customHeight="1">
      <c r="A75" s="40" t="s">
        <v>179</v>
      </c>
      <c r="B75" s="41" t="s">
        <v>258</v>
      </c>
      <c r="C75" s="41" t="s">
        <v>266</v>
      </c>
      <c r="D75" s="42" t="s">
        <v>182</v>
      </c>
      <c r="E75" s="41"/>
      <c r="F75" s="43"/>
      <c r="G75" s="43"/>
      <c r="H75" s="43"/>
      <c r="I75" s="43"/>
      <c r="J75" s="43"/>
      <c r="K75" s="43"/>
    </row>
    <row r="76" ht="27.0" customHeight="1">
      <c r="A76" s="40" t="s">
        <v>179</v>
      </c>
      <c r="B76" s="41" t="s">
        <v>267</v>
      </c>
      <c r="C76" s="41" t="s">
        <v>268</v>
      </c>
      <c r="D76" s="42" t="s">
        <v>182</v>
      </c>
      <c r="E76" s="41"/>
      <c r="F76" s="43"/>
      <c r="G76" s="43"/>
      <c r="H76" s="43"/>
      <c r="I76" s="43"/>
      <c r="J76" s="43"/>
      <c r="K76" s="43"/>
    </row>
    <row r="77" ht="27.0" customHeight="1">
      <c r="A77" s="40" t="s">
        <v>179</v>
      </c>
      <c r="B77" s="41" t="s">
        <v>267</v>
      </c>
      <c r="C77" s="41" t="s">
        <v>269</v>
      </c>
      <c r="D77" s="42" t="s">
        <v>182</v>
      </c>
      <c r="E77" s="41"/>
      <c r="F77" s="43"/>
      <c r="G77" s="43"/>
      <c r="H77" s="43"/>
      <c r="I77" s="43"/>
      <c r="J77" s="43"/>
      <c r="K77" s="43"/>
    </row>
    <row r="78" ht="27.0" customHeight="1">
      <c r="A78" s="47" t="s">
        <v>270</v>
      </c>
      <c r="B78" s="4" t="s">
        <v>271</v>
      </c>
      <c r="C78" s="4" t="s">
        <v>272</v>
      </c>
      <c r="D78" s="42" t="s">
        <v>182</v>
      </c>
      <c r="E78" s="48">
        <v>17.0</v>
      </c>
    </row>
    <row r="79" ht="27.0" customHeight="1">
      <c r="A79" s="47" t="s">
        <v>270</v>
      </c>
      <c r="B79" s="4" t="s">
        <v>271</v>
      </c>
      <c r="C79" s="4" t="s">
        <v>273</v>
      </c>
      <c r="D79" s="42" t="s">
        <v>182</v>
      </c>
      <c r="E79" s="48">
        <v>17.0</v>
      </c>
      <c r="F79" s="22"/>
      <c r="G79" s="22"/>
      <c r="H79" s="22"/>
      <c r="I79" s="22"/>
      <c r="J79" s="22"/>
      <c r="K79" s="22"/>
    </row>
    <row r="80" ht="27.0" customHeight="1">
      <c r="A80" s="47" t="s">
        <v>270</v>
      </c>
      <c r="B80" s="4" t="s">
        <v>271</v>
      </c>
      <c r="C80" s="4" t="s">
        <v>274</v>
      </c>
      <c r="D80" s="42" t="s">
        <v>182</v>
      </c>
      <c r="E80" s="48">
        <v>17.0</v>
      </c>
      <c r="F80" s="22"/>
      <c r="G80" s="22"/>
      <c r="H80" s="22"/>
      <c r="I80" s="22"/>
      <c r="J80" s="22"/>
      <c r="K80" s="22"/>
    </row>
    <row r="81" ht="27.0" customHeight="1">
      <c r="A81" s="47" t="s">
        <v>270</v>
      </c>
      <c r="B81" s="4" t="s">
        <v>271</v>
      </c>
      <c r="C81" s="4" t="s">
        <v>275</v>
      </c>
      <c r="D81" s="42" t="s">
        <v>182</v>
      </c>
      <c r="E81" s="48">
        <v>16.0</v>
      </c>
      <c r="F81" s="22"/>
      <c r="G81" s="22"/>
      <c r="H81" s="22"/>
      <c r="I81" s="22"/>
      <c r="J81" s="22"/>
      <c r="K81" s="22"/>
    </row>
    <row r="82" ht="27.0" customHeight="1">
      <c r="A82" s="47" t="s">
        <v>270</v>
      </c>
      <c r="B82" s="4" t="s">
        <v>271</v>
      </c>
      <c r="C82" s="4" t="s">
        <v>276</v>
      </c>
      <c r="D82" s="42" t="s">
        <v>182</v>
      </c>
      <c r="E82" s="48">
        <v>15.0</v>
      </c>
      <c r="F82" s="22"/>
      <c r="G82" s="22"/>
      <c r="H82" s="22"/>
      <c r="I82" s="22"/>
      <c r="J82" s="22"/>
      <c r="K82" s="22"/>
    </row>
    <row r="83" ht="27.0" customHeight="1">
      <c r="A83" s="47" t="s">
        <v>270</v>
      </c>
      <c r="B83" s="4" t="s">
        <v>271</v>
      </c>
      <c r="C83" s="4" t="s">
        <v>277</v>
      </c>
      <c r="D83" s="42" t="s">
        <v>182</v>
      </c>
      <c r="E83" s="48">
        <v>13.0</v>
      </c>
      <c r="F83" s="22"/>
      <c r="G83" s="22"/>
      <c r="H83" s="22"/>
      <c r="I83" s="22"/>
      <c r="J83" s="22"/>
      <c r="K83" s="22"/>
    </row>
    <row r="84" ht="27.0" customHeight="1">
      <c r="A84" s="47" t="s">
        <v>179</v>
      </c>
      <c r="B84" s="4" t="s">
        <v>271</v>
      </c>
      <c r="C84" s="4" t="s">
        <v>278</v>
      </c>
      <c r="D84" s="42" t="s">
        <v>182</v>
      </c>
      <c r="E84" s="48">
        <v>13.0</v>
      </c>
      <c r="F84" s="22"/>
      <c r="G84" s="22"/>
      <c r="H84" s="22"/>
      <c r="I84" s="22"/>
      <c r="J84" s="22"/>
      <c r="K84" s="22"/>
    </row>
    <row r="85" ht="27.0" customHeight="1">
      <c r="A85" s="47" t="s">
        <v>179</v>
      </c>
      <c r="B85" s="1" t="s">
        <v>271</v>
      </c>
      <c r="C85" s="1" t="s">
        <v>279</v>
      </c>
      <c r="D85" s="44" t="s">
        <v>186</v>
      </c>
      <c r="E85" s="49" t="s">
        <v>280</v>
      </c>
      <c r="F85" s="22"/>
      <c r="G85" s="22"/>
      <c r="H85" s="22"/>
      <c r="I85" s="22"/>
      <c r="J85" s="22"/>
      <c r="K85" s="22"/>
    </row>
    <row r="86" ht="27.0" customHeight="1">
      <c r="A86" s="50" t="s">
        <v>179</v>
      </c>
      <c r="B86" s="51" t="s">
        <v>271</v>
      </c>
      <c r="C86" s="51" t="s">
        <v>130</v>
      </c>
      <c r="D86" s="44" t="s">
        <v>186</v>
      </c>
      <c r="E86" s="52" t="s">
        <v>281</v>
      </c>
      <c r="F86" s="22"/>
      <c r="G86" s="22"/>
      <c r="H86" s="22"/>
      <c r="I86" s="22"/>
      <c r="J86" s="22"/>
      <c r="K86" s="22"/>
    </row>
    <row r="87" ht="27.0" customHeight="1">
      <c r="A87" s="47" t="s">
        <v>270</v>
      </c>
      <c r="B87" s="4" t="s">
        <v>271</v>
      </c>
      <c r="C87" s="4" t="s">
        <v>282</v>
      </c>
      <c r="D87" s="42" t="s">
        <v>182</v>
      </c>
      <c r="E87" s="48">
        <v>12.0</v>
      </c>
      <c r="F87" s="22"/>
      <c r="G87" s="22"/>
      <c r="H87" s="22"/>
      <c r="I87" s="22"/>
      <c r="J87" s="22"/>
      <c r="K87" s="22"/>
    </row>
    <row r="88" ht="27.0" customHeight="1">
      <c r="A88" s="47" t="s">
        <v>270</v>
      </c>
      <c r="B88" s="4" t="s">
        <v>271</v>
      </c>
      <c r="C88" s="4" t="s">
        <v>283</v>
      </c>
      <c r="D88" s="42" t="s">
        <v>182</v>
      </c>
      <c r="E88" s="48">
        <v>12.0</v>
      </c>
      <c r="F88" s="22"/>
      <c r="G88" s="22"/>
      <c r="H88" s="22"/>
      <c r="I88" s="22"/>
      <c r="J88" s="22"/>
      <c r="K88" s="22"/>
    </row>
    <row r="89" ht="27.0" customHeight="1">
      <c r="A89" s="47" t="s">
        <v>270</v>
      </c>
      <c r="B89" s="4" t="s">
        <v>271</v>
      </c>
      <c r="C89" s="4" t="s">
        <v>284</v>
      </c>
      <c r="D89" s="42" t="s">
        <v>182</v>
      </c>
      <c r="E89" s="48">
        <v>10.0</v>
      </c>
      <c r="F89" s="22"/>
      <c r="G89" s="22"/>
      <c r="H89" s="22"/>
      <c r="I89" s="22"/>
      <c r="J89" s="22"/>
      <c r="K89" s="22"/>
    </row>
    <row r="90" ht="27.0" customHeight="1">
      <c r="A90" s="47" t="s">
        <v>270</v>
      </c>
      <c r="B90" s="4" t="s">
        <v>271</v>
      </c>
      <c r="C90" s="1" t="s">
        <v>285</v>
      </c>
      <c r="D90" s="42" t="s">
        <v>182</v>
      </c>
      <c r="E90" s="48"/>
      <c r="F90" s="22"/>
      <c r="G90" s="22"/>
      <c r="H90" s="22"/>
      <c r="I90" s="22"/>
      <c r="J90" s="22"/>
      <c r="K90" s="22"/>
    </row>
    <row r="91" ht="27.0" customHeight="1">
      <c r="A91" s="47" t="s">
        <v>270</v>
      </c>
      <c r="B91" s="4" t="s">
        <v>271</v>
      </c>
      <c r="C91" s="1" t="s">
        <v>286</v>
      </c>
      <c r="D91" s="42" t="s">
        <v>182</v>
      </c>
      <c r="E91" s="48"/>
      <c r="F91" s="22"/>
      <c r="G91" s="22"/>
      <c r="H91" s="22"/>
      <c r="I91" s="22"/>
      <c r="J91" s="22"/>
      <c r="K91" s="22"/>
    </row>
    <row r="92" ht="27.0" customHeight="1">
      <c r="A92" s="47" t="s">
        <v>270</v>
      </c>
      <c r="B92" s="4" t="s">
        <v>271</v>
      </c>
      <c r="C92" s="1" t="s">
        <v>287</v>
      </c>
      <c r="D92" s="42" t="s">
        <v>182</v>
      </c>
      <c r="E92" s="48"/>
      <c r="F92" s="22"/>
      <c r="G92" s="22"/>
      <c r="H92" s="22"/>
      <c r="I92" s="22"/>
      <c r="J92" s="22"/>
      <c r="K92" s="22"/>
    </row>
    <row r="93" ht="27.0" customHeight="1">
      <c r="A93" s="47" t="s">
        <v>270</v>
      </c>
      <c r="B93" s="1" t="s">
        <v>271</v>
      </c>
      <c r="C93" s="1" t="s">
        <v>288</v>
      </c>
      <c r="D93" s="44" t="s">
        <v>186</v>
      </c>
      <c r="E93" s="49" t="s">
        <v>289</v>
      </c>
      <c r="F93" s="22"/>
      <c r="G93" s="22"/>
      <c r="H93" s="22"/>
      <c r="I93" s="22"/>
      <c r="J93" s="22"/>
      <c r="K93" s="22"/>
    </row>
    <row r="94" ht="27.0" customHeight="1">
      <c r="A94" s="47" t="s">
        <v>270</v>
      </c>
      <c r="B94" s="4" t="s">
        <v>271</v>
      </c>
      <c r="C94" s="4" t="s">
        <v>290</v>
      </c>
      <c r="D94" s="42" t="s">
        <v>182</v>
      </c>
      <c r="E94" s="48">
        <v>9.0</v>
      </c>
      <c r="F94" s="22"/>
      <c r="G94" s="22"/>
      <c r="H94" s="22"/>
      <c r="I94" s="22"/>
      <c r="J94" s="22"/>
      <c r="K94" s="22"/>
    </row>
    <row r="95" ht="27.0" customHeight="1">
      <c r="A95" s="47" t="s">
        <v>270</v>
      </c>
      <c r="B95" s="4" t="s">
        <v>180</v>
      </c>
      <c r="C95" s="4" t="s">
        <v>291</v>
      </c>
      <c r="D95" s="42" t="s">
        <v>182</v>
      </c>
      <c r="E95" s="48">
        <v>16.0</v>
      </c>
      <c r="F95" s="22"/>
      <c r="G95" s="22"/>
      <c r="H95" s="22"/>
      <c r="I95" s="22"/>
      <c r="J95" s="22"/>
      <c r="K95" s="22"/>
    </row>
    <row r="96" ht="27.0" customHeight="1">
      <c r="A96" s="47" t="s">
        <v>270</v>
      </c>
      <c r="B96" s="4" t="s">
        <v>180</v>
      </c>
      <c r="C96" s="4" t="s">
        <v>292</v>
      </c>
      <c r="D96" s="42" t="s">
        <v>182</v>
      </c>
      <c r="E96" s="48">
        <v>15.0</v>
      </c>
    </row>
    <row r="97" ht="27.0" customHeight="1">
      <c r="A97" s="47" t="s">
        <v>270</v>
      </c>
      <c r="B97" s="4" t="s">
        <v>180</v>
      </c>
      <c r="C97" s="4" t="s">
        <v>293</v>
      </c>
      <c r="D97" s="42" t="s">
        <v>182</v>
      </c>
      <c r="E97" s="48">
        <v>15.0</v>
      </c>
    </row>
    <row r="98" ht="27.0" customHeight="1">
      <c r="A98" s="47" t="s">
        <v>270</v>
      </c>
      <c r="B98" s="4" t="s">
        <v>180</v>
      </c>
      <c r="C98" s="4" t="s">
        <v>294</v>
      </c>
      <c r="D98" s="42" t="s">
        <v>182</v>
      </c>
      <c r="E98" s="48">
        <v>14.0</v>
      </c>
    </row>
    <row r="99" ht="27.0" customHeight="1">
      <c r="A99" s="47" t="s">
        <v>270</v>
      </c>
      <c r="B99" s="4" t="s">
        <v>180</v>
      </c>
      <c r="C99" s="4" t="s">
        <v>295</v>
      </c>
      <c r="D99" s="42" t="s">
        <v>182</v>
      </c>
      <c r="E99" s="48">
        <v>12.0</v>
      </c>
    </row>
    <row r="100" ht="27.0" customHeight="1">
      <c r="A100" s="47" t="s">
        <v>270</v>
      </c>
      <c r="B100" s="4" t="s">
        <v>180</v>
      </c>
      <c r="C100" s="4" t="s">
        <v>296</v>
      </c>
      <c r="D100" s="42" t="s">
        <v>182</v>
      </c>
      <c r="E100" s="48">
        <v>11.0</v>
      </c>
    </row>
    <row r="101" ht="27.0" customHeight="1">
      <c r="A101" s="47" t="s">
        <v>270</v>
      </c>
      <c r="B101" s="4" t="s">
        <v>180</v>
      </c>
      <c r="C101" s="4" t="s">
        <v>297</v>
      </c>
      <c r="D101" s="42" t="s">
        <v>182</v>
      </c>
      <c r="E101" s="48">
        <v>11.0</v>
      </c>
    </row>
    <row r="102" ht="27.0" customHeight="1">
      <c r="A102" s="47" t="s">
        <v>270</v>
      </c>
      <c r="B102" s="4" t="s">
        <v>180</v>
      </c>
      <c r="C102" s="4" t="s">
        <v>298</v>
      </c>
      <c r="D102" s="42" t="s">
        <v>182</v>
      </c>
      <c r="E102" s="48">
        <v>9.0</v>
      </c>
    </row>
    <row r="103" ht="27.0" customHeight="1">
      <c r="A103" s="47" t="s">
        <v>270</v>
      </c>
      <c r="B103" s="4" t="s">
        <v>180</v>
      </c>
      <c r="C103" s="4" t="s">
        <v>299</v>
      </c>
      <c r="D103" s="42" t="s">
        <v>182</v>
      </c>
      <c r="E103" s="48">
        <v>6.0</v>
      </c>
    </row>
    <row r="104" ht="27.0" customHeight="1">
      <c r="A104" s="47" t="s">
        <v>270</v>
      </c>
      <c r="B104" s="4" t="s">
        <v>180</v>
      </c>
      <c r="C104" s="4" t="s">
        <v>300</v>
      </c>
      <c r="D104" s="42" t="s">
        <v>182</v>
      </c>
      <c r="E104" s="48">
        <v>2.0</v>
      </c>
    </row>
    <row r="105" ht="27.0" customHeight="1">
      <c r="A105" s="47" t="s">
        <v>270</v>
      </c>
      <c r="B105" s="4" t="s">
        <v>180</v>
      </c>
      <c r="C105" s="4" t="s">
        <v>301</v>
      </c>
      <c r="D105" s="42" t="s">
        <v>182</v>
      </c>
      <c r="E105" s="48">
        <v>0.0</v>
      </c>
    </row>
    <row r="106" ht="27.0" customHeight="1">
      <c r="A106" s="47" t="s">
        <v>270</v>
      </c>
      <c r="B106" s="1" t="s">
        <v>180</v>
      </c>
      <c r="C106" s="1" t="s">
        <v>302</v>
      </c>
      <c r="D106" s="44" t="s">
        <v>186</v>
      </c>
      <c r="E106" s="48"/>
    </row>
    <row r="107" ht="27.0" customHeight="1">
      <c r="A107" s="47" t="s">
        <v>270</v>
      </c>
      <c r="B107" s="4" t="s">
        <v>303</v>
      </c>
      <c r="C107" s="4" t="s">
        <v>304</v>
      </c>
      <c r="D107" s="42" t="s">
        <v>182</v>
      </c>
      <c r="E107" s="48">
        <v>13.0</v>
      </c>
    </row>
    <row r="108" ht="27.0" customHeight="1">
      <c r="A108" s="47" t="s">
        <v>270</v>
      </c>
      <c r="B108" s="4" t="s">
        <v>303</v>
      </c>
      <c r="C108" s="4" t="s">
        <v>305</v>
      </c>
      <c r="D108" s="42" t="s">
        <v>182</v>
      </c>
      <c r="E108" s="48">
        <v>13.0</v>
      </c>
    </row>
    <row r="109" ht="27.0" customHeight="1">
      <c r="A109" s="47" t="s">
        <v>270</v>
      </c>
      <c r="B109" s="4" t="s">
        <v>303</v>
      </c>
      <c r="C109" s="4" t="s">
        <v>306</v>
      </c>
      <c r="D109" s="42" t="s">
        <v>182</v>
      </c>
      <c r="E109" s="48">
        <v>13.0</v>
      </c>
    </row>
    <row r="110" ht="27.0" customHeight="1">
      <c r="A110" s="47" t="s">
        <v>270</v>
      </c>
      <c r="B110" s="4" t="s">
        <v>303</v>
      </c>
      <c r="C110" s="4" t="s">
        <v>307</v>
      </c>
      <c r="D110" s="42" t="s">
        <v>182</v>
      </c>
      <c r="E110" s="48">
        <v>12.0</v>
      </c>
    </row>
    <row r="111" ht="27.0" customHeight="1">
      <c r="A111" s="47" t="s">
        <v>270</v>
      </c>
      <c r="B111" s="4" t="s">
        <v>303</v>
      </c>
      <c r="C111" s="4" t="s">
        <v>308</v>
      </c>
      <c r="D111" s="42" t="s">
        <v>182</v>
      </c>
      <c r="E111" s="48">
        <v>12.0</v>
      </c>
    </row>
    <row r="112" ht="27.0" customHeight="1">
      <c r="A112" s="47" t="s">
        <v>270</v>
      </c>
      <c r="B112" s="4" t="s">
        <v>303</v>
      </c>
      <c r="C112" s="4" t="s">
        <v>309</v>
      </c>
      <c r="D112" s="42" t="s">
        <v>182</v>
      </c>
      <c r="E112" s="48">
        <v>11.0</v>
      </c>
    </row>
    <row r="113" ht="27.0" customHeight="1">
      <c r="A113" s="47" t="s">
        <v>270</v>
      </c>
      <c r="B113" s="4" t="s">
        <v>303</v>
      </c>
      <c r="C113" s="4" t="s">
        <v>310</v>
      </c>
      <c r="D113" s="42" t="s">
        <v>182</v>
      </c>
      <c r="E113" s="48">
        <v>11.0</v>
      </c>
    </row>
    <row r="114" ht="27.0" customHeight="1">
      <c r="A114" s="47" t="s">
        <v>270</v>
      </c>
      <c r="B114" s="4" t="s">
        <v>303</v>
      </c>
      <c r="C114" s="4" t="s">
        <v>311</v>
      </c>
      <c r="D114" s="42" t="s">
        <v>182</v>
      </c>
      <c r="E114" s="48">
        <v>10.0</v>
      </c>
    </row>
    <row r="115" ht="27.0" customHeight="1">
      <c r="A115" s="47" t="s">
        <v>270</v>
      </c>
      <c r="B115" s="4" t="s">
        <v>303</v>
      </c>
      <c r="C115" s="4" t="s">
        <v>312</v>
      </c>
      <c r="D115" s="42" t="s">
        <v>182</v>
      </c>
      <c r="E115" s="48">
        <v>10.0</v>
      </c>
    </row>
    <row r="116" ht="27.0" customHeight="1">
      <c r="A116" s="47" t="s">
        <v>270</v>
      </c>
      <c r="B116" s="4" t="s">
        <v>303</v>
      </c>
      <c r="C116" s="1" t="s">
        <v>313</v>
      </c>
      <c r="D116" s="44" t="s">
        <v>186</v>
      </c>
      <c r="E116" s="48"/>
    </row>
    <row r="117" ht="27.0" customHeight="1">
      <c r="A117" s="47" t="s">
        <v>270</v>
      </c>
      <c r="B117" s="4" t="s">
        <v>303</v>
      </c>
      <c r="C117" s="1" t="s">
        <v>313</v>
      </c>
      <c r="D117" s="44" t="s">
        <v>186</v>
      </c>
      <c r="E117" s="48"/>
    </row>
    <row r="118" ht="27.0" customHeight="1">
      <c r="A118" s="47" t="s">
        <v>270</v>
      </c>
      <c r="B118" s="4" t="s">
        <v>303</v>
      </c>
      <c r="C118" s="4" t="s">
        <v>314</v>
      </c>
      <c r="D118" s="42" t="s">
        <v>182</v>
      </c>
      <c r="E118" s="48">
        <v>9.0</v>
      </c>
    </row>
    <row r="119" ht="27.0" customHeight="1">
      <c r="A119" s="47" t="s">
        <v>270</v>
      </c>
      <c r="B119" s="4" t="s">
        <v>200</v>
      </c>
      <c r="C119" s="4" t="s">
        <v>315</v>
      </c>
      <c r="D119" s="42" t="s">
        <v>182</v>
      </c>
      <c r="E119" s="48">
        <v>15.0</v>
      </c>
    </row>
    <row r="120" ht="27.0" customHeight="1">
      <c r="A120" s="47" t="s">
        <v>270</v>
      </c>
      <c r="B120" s="4" t="s">
        <v>200</v>
      </c>
      <c r="C120" s="4" t="s">
        <v>316</v>
      </c>
      <c r="D120" s="42" t="s">
        <v>182</v>
      </c>
      <c r="E120" s="48">
        <v>14.0</v>
      </c>
    </row>
    <row r="121" ht="27.0" customHeight="1">
      <c r="A121" s="47" t="s">
        <v>270</v>
      </c>
      <c r="B121" s="4" t="s">
        <v>200</v>
      </c>
      <c r="C121" s="4" t="s">
        <v>317</v>
      </c>
      <c r="D121" s="42" t="s">
        <v>182</v>
      </c>
      <c r="E121" s="48">
        <v>13.0</v>
      </c>
    </row>
    <row r="122" ht="27.0" customHeight="1">
      <c r="A122" s="47" t="s">
        <v>270</v>
      </c>
      <c r="B122" s="4" t="s">
        <v>200</v>
      </c>
      <c r="C122" s="4" t="s">
        <v>318</v>
      </c>
      <c r="D122" s="42" t="s">
        <v>182</v>
      </c>
      <c r="E122" s="48">
        <v>12.0</v>
      </c>
    </row>
    <row r="123" ht="27.0" customHeight="1">
      <c r="A123" s="47" t="s">
        <v>270</v>
      </c>
      <c r="B123" s="4" t="s">
        <v>200</v>
      </c>
      <c r="C123" s="4" t="s">
        <v>319</v>
      </c>
      <c r="D123" s="42" t="s">
        <v>182</v>
      </c>
      <c r="E123" s="48">
        <v>8.0</v>
      </c>
    </row>
    <row r="124" ht="27.0" customHeight="1">
      <c r="A124" s="47" t="s">
        <v>270</v>
      </c>
      <c r="B124" s="4" t="s">
        <v>200</v>
      </c>
      <c r="C124" s="4" t="s">
        <v>320</v>
      </c>
      <c r="D124" s="42" t="s">
        <v>182</v>
      </c>
      <c r="E124" s="48">
        <v>3.0</v>
      </c>
    </row>
    <row r="125" ht="27.0" customHeight="1">
      <c r="A125" s="47" t="s">
        <v>270</v>
      </c>
      <c r="B125" s="4" t="s">
        <v>200</v>
      </c>
      <c r="C125" s="4" t="s">
        <v>321</v>
      </c>
      <c r="D125" s="42" t="s">
        <v>182</v>
      </c>
      <c r="E125" s="48">
        <v>2.0</v>
      </c>
    </row>
    <row r="126" ht="27.0" customHeight="1">
      <c r="A126" s="47" t="s">
        <v>270</v>
      </c>
      <c r="B126" s="4" t="s">
        <v>200</v>
      </c>
      <c r="C126" s="4" t="s">
        <v>322</v>
      </c>
      <c r="D126" s="42" t="s">
        <v>182</v>
      </c>
      <c r="E126" s="48">
        <v>1.0</v>
      </c>
    </row>
    <row r="127" ht="27.0" customHeight="1">
      <c r="A127" s="47" t="s">
        <v>323</v>
      </c>
      <c r="B127" s="3" t="s">
        <v>271</v>
      </c>
      <c r="C127" s="53" t="s">
        <v>324</v>
      </c>
      <c r="D127" s="42" t="s">
        <v>182</v>
      </c>
      <c r="E127" s="54">
        <v>23.0</v>
      </c>
    </row>
    <row r="128" ht="27.0" customHeight="1">
      <c r="A128" s="47" t="s">
        <v>323</v>
      </c>
      <c r="B128" s="3" t="s">
        <v>271</v>
      </c>
      <c r="C128" s="53" t="s">
        <v>325</v>
      </c>
      <c r="D128" s="42" t="s">
        <v>182</v>
      </c>
      <c r="E128" s="54">
        <v>20.0</v>
      </c>
    </row>
    <row r="129" ht="27.0" customHeight="1">
      <c r="A129" s="47" t="s">
        <v>323</v>
      </c>
      <c r="B129" s="3" t="s">
        <v>271</v>
      </c>
      <c r="C129" s="53" t="s">
        <v>326</v>
      </c>
      <c r="D129" s="42" t="s">
        <v>182</v>
      </c>
      <c r="E129" s="54">
        <v>15.0</v>
      </c>
    </row>
    <row r="130" ht="27.0" customHeight="1">
      <c r="A130" s="47" t="s">
        <v>323</v>
      </c>
      <c r="B130" s="3" t="s">
        <v>271</v>
      </c>
      <c r="C130" s="53" t="s">
        <v>327</v>
      </c>
      <c r="D130" s="42" t="s">
        <v>182</v>
      </c>
      <c r="E130" s="54">
        <v>13.0</v>
      </c>
    </row>
    <row r="131" ht="27.0" customHeight="1">
      <c r="A131" s="47" t="s">
        <v>323</v>
      </c>
      <c r="B131" s="3" t="s">
        <v>271</v>
      </c>
      <c r="C131" s="53" t="s">
        <v>328</v>
      </c>
      <c r="D131" s="42" t="s">
        <v>182</v>
      </c>
      <c r="E131" s="54">
        <v>10.0</v>
      </c>
    </row>
    <row r="132" ht="27.0" customHeight="1">
      <c r="A132" s="47" t="s">
        <v>323</v>
      </c>
      <c r="B132" s="3" t="s">
        <v>271</v>
      </c>
      <c r="C132" s="53" t="s">
        <v>329</v>
      </c>
      <c r="D132" s="42" t="s">
        <v>182</v>
      </c>
      <c r="E132" s="55">
        <v>10.0</v>
      </c>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row r="1004">
      <c r="A1004" s="22"/>
    </row>
    <row r="1005">
      <c r="A1005" s="22"/>
    </row>
    <row r="1006">
      <c r="A1006" s="22"/>
    </row>
    <row r="1007">
      <c r="A1007" s="22"/>
    </row>
    <row r="1008">
      <c r="A1008" s="22"/>
    </row>
    <row r="1009">
      <c r="A1009" s="22"/>
    </row>
    <row r="1010">
      <c r="A1010" s="22"/>
    </row>
  </sheetData>
  <autoFilter ref="$B$1:$E$132"/>
  <mergeCells count="1">
    <mergeCell ref="B1:E1"/>
  </mergeCells>
  <conditionalFormatting sqref="D3:D106 E25:K25 E40:K42 E74:K74 E86 D117 D119:D132">
    <cfRule type="containsText" dxfId="0" priority="1" operator="containsText" text="Activo">
      <formula>NOT(ISERROR(SEARCH(("Activo"),(D3))))</formula>
    </cfRule>
  </conditionalFormatting>
  <conditionalFormatting sqref="D7 D10 D12 D18 D25 D40:D42 D57 D60:D61 D63:D64 D74 D106 D117">
    <cfRule type="containsText" dxfId="2" priority="2" operator="containsText" text="No operativo">
      <formula>NOT(ISERROR(SEARCH(("No operativo"),(D7))))</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330</v>
      </c>
      <c r="B1" s="57"/>
      <c r="C1" s="57"/>
      <c r="D1" s="57"/>
      <c r="E1" s="57"/>
      <c r="F1" s="57"/>
      <c r="G1" s="57"/>
      <c r="H1" s="57"/>
      <c r="I1" s="57"/>
      <c r="J1" s="57"/>
      <c r="K1" s="57"/>
      <c r="L1" s="58"/>
    </row>
    <row r="2">
      <c r="A2" s="59" t="s">
        <v>325</v>
      </c>
      <c r="B2" s="60"/>
      <c r="C2" s="61" t="s">
        <v>324</v>
      </c>
      <c r="D2" s="60"/>
      <c r="E2" s="61" t="s">
        <v>328</v>
      </c>
      <c r="F2" s="60"/>
      <c r="G2" s="61" t="s">
        <v>327</v>
      </c>
      <c r="H2" s="60"/>
      <c r="I2" s="61" t="s">
        <v>329</v>
      </c>
      <c r="J2" s="60"/>
      <c r="K2" s="61" t="s">
        <v>326</v>
      </c>
      <c r="L2" s="62"/>
    </row>
    <row r="3">
      <c r="A3" s="63" t="s">
        <v>331</v>
      </c>
      <c r="B3" s="64" t="s">
        <v>332</v>
      </c>
      <c r="C3" s="64" t="s">
        <v>331</v>
      </c>
      <c r="D3" s="64" t="s">
        <v>332</v>
      </c>
      <c r="E3" s="64" t="s">
        <v>331</v>
      </c>
      <c r="F3" s="64" t="s">
        <v>332</v>
      </c>
      <c r="G3" s="64" t="s">
        <v>331</v>
      </c>
      <c r="H3" s="64" t="s">
        <v>332</v>
      </c>
      <c r="I3" s="64" t="s">
        <v>331</v>
      </c>
      <c r="J3" s="64" t="s">
        <v>332</v>
      </c>
      <c r="K3" s="64" t="s">
        <v>331</v>
      </c>
      <c r="L3" s="65" t="s">
        <v>332</v>
      </c>
    </row>
    <row r="4">
      <c r="A4" s="66" t="s">
        <v>333</v>
      </c>
      <c r="B4" s="67" t="b">
        <v>0</v>
      </c>
      <c r="C4" s="68" t="s">
        <v>334</v>
      </c>
      <c r="D4" s="69" t="b">
        <v>1</v>
      </c>
      <c r="E4" s="68" t="s">
        <v>333</v>
      </c>
      <c r="F4" s="67" t="b">
        <v>0</v>
      </c>
      <c r="G4" s="68" t="s">
        <v>333</v>
      </c>
      <c r="H4" s="67" t="b">
        <v>0</v>
      </c>
      <c r="I4" s="68" t="s">
        <v>333</v>
      </c>
      <c r="J4" s="67" t="b">
        <v>0</v>
      </c>
      <c r="K4" s="68" t="s">
        <v>335</v>
      </c>
      <c r="L4" s="70" t="b">
        <v>0</v>
      </c>
    </row>
    <row r="5">
      <c r="A5" s="66" t="s">
        <v>336</v>
      </c>
      <c r="B5" s="67" t="b">
        <v>1</v>
      </c>
      <c r="C5" s="71"/>
      <c r="D5" s="72"/>
      <c r="E5" s="68" t="s">
        <v>337</v>
      </c>
      <c r="F5" s="67" t="b">
        <v>0</v>
      </c>
      <c r="G5" s="68" t="s">
        <v>337</v>
      </c>
      <c r="H5" s="67" t="b">
        <v>0</v>
      </c>
      <c r="I5" s="68" t="s">
        <v>337</v>
      </c>
      <c r="J5" s="67" t="b">
        <v>1</v>
      </c>
      <c r="K5" s="72"/>
      <c r="L5" s="73"/>
    </row>
    <row r="6">
      <c r="A6" s="74"/>
      <c r="B6" s="72"/>
      <c r="C6" s="71"/>
      <c r="D6" s="72"/>
      <c r="E6" s="68" t="s">
        <v>338</v>
      </c>
      <c r="F6" s="67" t="b">
        <v>0</v>
      </c>
      <c r="G6" s="72"/>
      <c r="H6" s="72"/>
      <c r="I6" s="68" t="s">
        <v>335</v>
      </c>
      <c r="J6" s="67" t="b">
        <v>0</v>
      </c>
      <c r="K6" s="72"/>
      <c r="L6" s="73"/>
    </row>
    <row r="7">
      <c r="A7" s="74"/>
      <c r="B7" s="72"/>
      <c r="C7" s="71"/>
      <c r="D7" s="72"/>
      <c r="E7" s="68" t="s">
        <v>339</v>
      </c>
      <c r="F7" s="67" t="b">
        <v>0</v>
      </c>
      <c r="G7" s="72"/>
      <c r="H7" s="72"/>
      <c r="I7" s="72"/>
      <c r="J7" s="72"/>
      <c r="K7" s="72"/>
      <c r="L7" s="73"/>
    </row>
    <row r="8">
      <c r="A8" s="75"/>
      <c r="B8" s="76"/>
      <c r="C8" s="76"/>
      <c r="D8" s="76"/>
      <c r="E8" s="76"/>
      <c r="F8" s="76"/>
      <c r="G8" s="76"/>
      <c r="H8" s="76"/>
      <c r="I8" s="76"/>
      <c r="J8" s="76"/>
      <c r="K8" s="76"/>
      <c r="L8" s="77"/>
    </row>
    <row r="9">
      <c r="A9" s="78" t="s">
        <v>340</v>
      </c>
      <c r="B9" s="79">
        <f>COUNTIF(B4:B5,TRUE)/2</f>
        <v>0.5</v>
      </c>
      <c r="C9" s="80" t="s">
        <v>340</v>
      </c>
      <c r="D9" s="79">
        <f>COUNTIF(D4,TRUE)/1</f>
        <v>1</v>
      </c>
      <c r="E9" s="80" t="s">
        <v>340</v>
      </c>
      <c r="F9" s="79">
        <f>COUNTIF(F4:F7,TRUE)/4</f>
        <v>0</v>
      </c>
      <c r="G9" s="80" t="s">
        <v>340</v>
      </c>
      <c r="H9" s="79">
        <f>COUNTIF(H4:H5,TRUE)/2</f>
        <v>0</v>
      </c>
      <c r="I9" s="80" t="s">
        <v>340</v>
      </c>
      <c r="J9" s="79">
        <f>COUNTIF(J4:J6,TRUE)/3</f>
        <v>0.3333333333</v>
      </c>
      <c r="K9" s="80" t="s">
        <v>340</v>
      </c>
      <c r="L9" s="81">
        <f>COUNTIF(L4,TRUE)/1</f>
        <v>0</v>
      </c>
    </row>
    <row r="10">
      <c r="A10" s="78" t="s">
        <v>341</v>
      </c>
      <c r="B10" s="79">
        <f>1-B9</f>
        <v>0.5</v>
      </c>
      <c r="C10" s="80" t="s">
        <v>341</v>
      </c>
      <c r="D10" s="79">
        <f>1-D9</f>
        <v>0</v>
      </c>
      <c r="E10" s="80" t="s">
        <v>341</v>
      </c>
      <c r="F10" s="79">
        <f>1-F9</f>
        <v>1</v>
      </c>
      <c r="G10" s="80" t="s">
        <v>341</v>
      </c>
      <c r="H10" s="79">
        <f>1-H9</f>
        <v>1</v>
      </c>
      <c r="I10" s="80" t="s">
        <v>341</v>
      </c>
      <c r="J10" s="79">
        <f>1-J9</f>
        <v>0.6666666667</v>
      </c>
      <c r="K10" s="80" t="s">
        <v>341</v>
      </c>
      <c r="L10" s="81">
        <f>1-L9</f>
        <v>1</v>
      </c>
    </row>
    <row r="11">
      <c r="A11" s="82" t="s">
        <v>342</v>
      </c>
      <c r="B11" s="83" t="str">
        <f>IF(B9=1,"LISTO","PENDIENTE")</f>
        <v>PENDIENTE</v>
      </c>
      <c r="C11" s="84" t="s">
        <v>342</v>
      </c>
      <c r="D11" s="85" t="str">
        <f>IF(D9=1,"LISTO","PENDIENTE")</f>
        <v>LISTO</v>
      </c>
      <c r="E11" s="84" t="s">
        <v>342</v>
      </c>
      <c r="F11" s="83" t="str">
        <f>IF(F9=1,"LISTO","PENDIENTE")</f>
        <v>PENDIENTE</v>
      </c>
      <c r="G11" s="84" t="s">
        <v>342</v>
      </c>
      <c r="H11" s="83" t="str">
        <f>IF(H9=1,"LISTO","PENDIENTE")</f>
        <v>PENDIENTE</v>
      </c>
      <c r="I11" s="84" t="s">
        <v>342</v>
      </c>
      <c r="J11" s="83" t="str">
        <f>IF(J9=1,"LISTO","PENDIENTE")</f>
        <v>PENDIENTE</v>
      </c>
      <c r="K11" s="84" t="s">
        <v>342</v>
      </c>
      <c r="L11" s="86" t="str">
        <f>IF(L9=1,"LISTO","PENDIENTE")</f>
        <v>PENDIENTE</v>
      </c>
    </row>
  </sheetData>
  <mergeCells count="7">
    <mergeCell ref="A1:L1"/>
    <mergeCell ref="A2:B2"/>
    <mergeCell ref="C2:D2"/>
    <mergeCell ref="E2:F2"/>
    <mergeCell ref="G2:H2"/>
    <mergeCell ref="I2:J2"/>
    <mergeCell ref="K2:L2"/>
  </mergeCells>
  <conditionalFormatting sqref="B4:L7">
    <cfRule type="expression" dxfId="0" priority="1">
      <formula>B4=TRUE</formula>
    </cfRule>
  </conditionalFormatting>
  <conditionalFormatting sqref="F4:F7">
    <cfRule type="expression" dxfId="4" priority="2">
      <formula>B4=FALSE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3" max="3" width="13.5"/>
  </cols>
  <sheetData>
    <row r="1">
      <c r="A1" s="87" t="s">
        <v>343</v>
      </c>
      <c r="B1" s="34"/>
      <c r="C1" s="34"/>
      <c r="D1" s="34"/>
      <c r="E1" s="88"/>
    </row>
    <row r="2">
      <c r="A2" s="89" t="s">
        <v>177</v>
      </c>
      <c r="B2" s="89" t="s">
        <v>2</v>
      </c>
      <c r="C2" s="89" t="s">
        <v>344</v>
      </c>
      <c r="D2" s="90" t="s">
        <v>345</v>
      </c>
      <c r="E2" s="89" t="s">
        <v>346</v>
      </c>
    </row>
    <row r="3">
      <c r="A3" s="91" t="s">
        <v>125</v>
      </c>
      <c r="B3" s="91" t="s">
        <v>347</v>
      </c>
      <c r="C3" s="92" t="s">
        <v>130</v>
      </c>
      <c r="D3" s="93" t="s">
        <v>348</v>
      </c>
      <c r="E3" s="94">
        <f t="shared" ref="E3:E12" si="1">IF(C3="Listo",1,0)</f>
        <v>0</v>
      </c>
    </row>
    <row r="4">
      <c r="A4" s="91" t="s">
        <v>125</v>
      </c>
      <c r="B4" s="91" t="s">
        <v>239</v>
      </c>
      <c r="C4" s="95" t="s">
        <v>130</v>
      </c>
      <c r="D4" s="93" t="s">
        <v>349</v>
      </c>
      <c r="E4" s="94">
        <f t="shared" si="1"/>
        <v>0</v>
      </c>
    </row>
    <row r="5">
      <c r="A5" s="91" t="s">
        <v>125</v>
      </c>
      <c r="B5" s="91" t="s">
        <v>232</v>
      </c>
      <c r="C5" s="95" t="s">
        <v>130</v>
      </c>
      <c r="D5" s="93" t="s">
        <v>349</v>
      </c>
      <c r="E5" s="94">
        <f t="shared" si="1"/>
        <v>0</v>
      </c>
    </row>
    <row r="6">
      <c r="A6" s="91" t="s">
        <v>134</v>
      </c>
      <c r="B6" s="91" t="s">
        <v>252</v>
      </c>
      <c r="C6" s="95" t="s">
        <v>130</v>
      </c>
      <c r="D6" s="93" t="s">
        <v>350</v>
      </c>
      <c r="E6" s="94">
        <f t="shared" si="1"/>
        <v>0</v>
      </c>
    </row>
    <row r="7">
      <c r="A7" s="91" t="s">
        <v>351</v>
      </c>
      <c r="B7" s="91" t="s">
        <v>190</v>
      </c>
      <c r="C7" s="95" t="s">
        <v>130</v>
      </c>
      <c r="D7" s="93" t="s">
        <v>350</v>
      </c>
      <c r="E7" s="94">
        <f t="shared" si="1"/>
        <v>0</v>
      </c>
    </row>
    <row r="8">
      <c r="A8" s="91" t="s">
        <v>148</v>
      </c>
      <c r="B8" s="91" t="s">
        <v>266</v>
      </c>
      <c r="C8" s="92" t="s">
        <v>332</v>
      </c>
      <c r="D8" s="93" t="s">
        <v>352</v>
      </c>
      <c r="E8" s="94">
        <f t="shared" si="1"/>
        <v>1</v>
      </c>
    </row>
    <row r="9">
      <c r="A9" s="91" t="s">
        <v>154</v>
      </c>
      <c r="B9" s="91" t="s">
        <v>193</v>
      </c>
      <c r="C9" s="95" t="s">
        <v>130</v>
      </c>
      <c r="D9" s="93" t="s">
        <v>349</v>
      </c>
      <c r="E9" s="94">
        <f t="shared" si="1"/>
        <v>0</v>
      </c>
    </row>
    <row r="10">
      <c r="A10" s="91" t="s">
        <v>154</v>
      </c>
      <c r="B10" s="91" t="s">
        <v>196</v>
      </c>
      <c r="C10" s="95" t="s">
        <v>130</v>
      </c>
      <c r="D10" s="93" t="s">
        <v>350</v>
      </c>
      <c r="E10" s="94">
        <f t="shared" si="1"/>
        <v>0</v>
      </c>
    </row>
    <row r="11">
      <c r="A11" s="91" t="s">
        <v>167</v>
      </c>
      <c r="B11" s="91" t="s">
        <v>221</v>
      </c>
      <c r="C11" s="95" t="s">
        <v>130</v>
      </c>
      <c r="D11" s="93" t="s">
        <v>350</v>
      </c>
      <c r="E11" s="94">
        <f t="shared" si="1"/>
        <v>0</v>
      </c>
    </row>
    <row r="12">
      <c r="A12" s="91" t="s">
        <v>167</v>
      </c>
      <c r="B12" s="91" t="s">
        <v>222</v>
      </c>
      <c r="C12" s="92" t="s">
        <v>130</v>
      </c>
      <c r="D12" s="93" t="s">
        <v>350</v>
      </c>
      <c r="E12" s="94">
        <f t="shared" si="1"/>
        <v>0</v>
      </c>
    </row>
  </sheetData>
  <mergeCells count="1">
    <mergeCell ref="A1:E1"/>
  </mergeCells>
  <dataValidations>
    <dataValidation type="list" allowBlank="1" showErrorMessage="1" sqref="C3:C12">
      <formula1>"Pendiente,Listo"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c r="B1" s="13"/>
      <c r="C1" s="96">
        <v>46143.0</v>
      </c>
      <c r="D1" s="96">
        <v>46144.0</v>
      </c>
      <c r="E1" s="96">
        <v>46145.0</v>
      </c>
      <c r="F1" s="76"/>
      <c r="G1" s="96">
        <v>46146.0</v>
      </c>
      <c r="H1" s="96">
        <v>46147.0</v>
      </c>
      <c r="I1" s="96">
        <v>46148.0</v>
      </c>
      <c r="J1" s="96">
        <v>46149.0</v>
      </c>
      <c r="K1" s="96">
        <v>46150.0</v>
      </c>
      <c r="L1" s="96">
        <v>46151.0</v>
      </c>
      <c r="M1" s="96">
        <v>46152.0</v>
      </c>
      <c r="N1" s="76"/>
      <c r="O1" s="96">
        <v>46153.0</v>
      </c>
      <c r="P1" s="96">
        <v>46154.0</v>
      </c>
      <c r="Q1" s="96">
        <v>46155.0</v>
      </c>
      <c r="R1" s="96">
        <v>46156.0</v>
      </c>
      <c r="S1" s="96">
        <v>46157.0</v>
      </c>
      <c r="T1" s="96">
        <v>46158.0</v>
      </c>
      <c r="U1" s="96">
        <v>46159.0</v>
      </c>
      <c r="V1" s="76"/>
      <c r="W1" s="96">
        <v>46160.0</v>
      </c>
      <c r="X1" s="96">
        <v>46161.0</v>
      </c>
      <c r="Y1" s="96">
        <v>46162.0</v>
      </c>
      <c r="Z1" s="96">
        <v>46163.0</v>
      </c>
      <c r="AA1" s="96">
        <v>46164.0</v>
      </c>
      <c r="AB1" s="96">
        <v>46165.0</v>
      </c>
      <c r="AC1" s="96">
        <v>46166.0</v>
      </c>
      <c r="AD1" s="76"/>
      <c r="AE1" s="96">
        <v>46167.0</v>
      </c>
      <c r="AF1" s="96">
        <v>46168.0</v>
      </c>
      <c r="AG1" s="96">
        <v>46169.0</v>
      </c>
      <c r="AH1" s="96">
        <v>46170.0</v>
      </c>
      <c r="AI1" s="96">
        <v>46171.0</v>
      </c>
      <c r="AJ1" s="96">
        <v>46172.0</v>
      </c>
      <c r="AK1" s="96">
        <v>46173.0</v>
      </c>
      <c r="AL1" s="97"/>
      <c r="AM1" s="96">
        <v>46174.0</v>
      </c>
      <c r="AN1" s="96">
        <v>46175.0</v>
      </c>
      <c r="AO1" s="96">
        <v>46176.0</v>
      </c>
      <c r="AP1" s="96">
        <v>46177.0</v>
      </c>
      <c r="AQ1" s="96">
        <v>46178.0</v>
      </c>
      <c r="AR1" s="96">
        <v>46179.0</v>
      </c>
      <c r="AS1" s="96">
        <v>46180.0</v>
      </c>
      <c r="AT1" s="98"/>
      <c r="AU1" s="96">
        <v>46181.0</v>
      </c>
      <c r="AV1" s="96">
        <v>46182.0</v>
      </c>
      <c r="AW1" s="96">
        <v>46183.0</v>
      </c>
      <c r="AX1" s="96">
        <v>46184.0</v>
      </c>
      <c r="AY1" s="96">
        <v>46185.0</v>
      </c>
      <c r="AZ1" s="96">
        <v>46186.0</v>
      </c>
      <c r="BA1" s="96">
        <v>46187.0</v>
      </c>
      <c r="BB1" s="98"/>
      <c r="BC1" s="96">
        <v>46188.0</v>
      </c>
      <c r="BD1" s="96">
        <v>46189.0</v>
      </c>
      <c r="BE1" s="96">
        <v>46190.0</v>
      </c>
      <c r="BF1" s="96">
        <v>46191.0</v>
      </c>
      <c r="BG1" s="96">
        <v>46192.0</v>
      </c>
      <c r="BH1" s="96">
        <v>46193.0</v>
      </c>
      <c r="BI1" s="96">
        <v>46194.0</v>
      </c>
      <c r="BJ1" s="98"/>
      <c r="BK1" s="96">
        <v>46195.0</v>
      </c>
      <c r="BL1" s="96">
        <v>46196.0</v>
      </c>
      <c r="BM1" s="96">
        <v>46197.0</v>
      </c>
      <c r="BN1" s="96">
        <v>46198.0</v>
      </c>
      <c r="BO1" s="96">
        <v>46199.0</v>
      </c>
      <c r="BP1" s="96">
        <v>46200.0</v>
      </c>
      <c r="BQ1" s="96">
        <v>46201.0</v>
      </c>
      <c r="BR1" s="98"/>
      <c r="BS1" s="96">
        <v>46202.0</v>
      </c>
      <c r="BT1" s="96">
        <v>46203.0</v>
      </c>
    </row>
    <row r="2">
      <c r="A2" s="13"/>
      <c r="C2" s="99" t="s">
        <v>353</v>
      </c>
      <c r="D2" s="99" t="s">
        <v>354</v>
      </c>
      <c r="E2" s="99" t="s">
        <v>355</v>
      </c>
      <c r="F2" s="76"/>
      <c r="G2" s="99" t="s">
        <v>356</v>
      </c>
      <c r="H2" s="99" t="s">
        <v>357</v>
      </c>
      <c r="I2" s="99" t="s">
        <v>358</v>
      </c>
      <c r="J2" s="99" t="s">
        <v>359</v>
      </c>
      <c r="K2" s="99" t="s">
        <v>353</v>
      </c>
      <c r="L2" s="99" t="s">
        <v>360</v>
      </c>
      <c r="M2" s="99" t="s">
        <v>355</v>
      </c>
      <c r="N2" s="76"/>
      <c r="O2" s="99" t="s">
        <v>356</v>
      </c>
      <c r="P2" s="99" t="s">
        <v>357</v>
      </c>
      <c r="Q2" s="99" t="s">
        <v>358</v>
      </c>
      <c r="R2" s="99" t="s">
        <v>359</v>
      </c>
      <c r="S2" s="99" t="s">
        <v>353</v>
      </c>
      <c r="T2" s="99" t="s">
        <v>360</v>
      </c>
      <c r="U2" s="99" t="s">
        <v>355</v>
      </c>
      <c r="V2" s="76"/>
      <c r="W2" s="99" t="s">
        <v>356</v>
      </c>
      <c r="X2" s="99" t="s">
        <v>357</v>
      </c>
      <c r="Y2" s="99" t="s">
        <v>358</v>
      </c>
      <c r="Z2" s="99" t="s">
        <v>359</v>
      </c>
      <c r="AA2" s="99" t="s">
        <v>353</v>
      </c>
      <c r="AB2" s="99" t="s">
        <v>360</v>
      </c>
      <c r="AC2" s="99" t="s">
        <v>355</v>
      </c>
      <c r="AD2" s="76"/>
      <c r="AE2" s="99" t="s">
        <v>356</v>
      </c>
      <c r="AF2" s="99" t="s">
        <v>357</v>
      </c>
      <c r="AG2" s="99" t="s">
        <v>358</v>
      </c>
      <c r="AH2" s="99" t="s">
        <v>359</v>
      </c>
      <c r="AI2" s="99" t="s">
        <v>353</v>
      </c>
      <c r="AJ2" s="99" t="s">
        <v>360</v>
      </c>
      <c r="AK2" s="99" t="s">
        <v>355</v>
      </c>
      <c r="AL2" s="100" t="s">
        <v>361</v>
      </c>
      <c r="AM2" s="99" t="s">
        <v>356</v>
      </c>
      <c r="AN2" s="99" t="s">
        <v>357</v>
      </c>
      <c r="AO2" s="99" t="s">
        <v>358</v>
      </c>
      <c r="AP2" s="99" t="s">
        <v>359</v>
      </c>
      <c r="AQ2" s="99" t="s">
        <v>353</v>
      </c>
      <c r="AR2" s="99" t="s">
        <v>360</v>
      </c>
      <c r="AS2" s="99" t="s">
        <v>355</v>
      </c>
      <c r="AT2" s="101"/>
      <c r="AU2" s="99" t="s">
        <v>356</v>
      </c>
      <c r="AV2" s="99" t="s">
        <v>357</v>
      </c>
      <c r="AW2" s="99" t="s">
        <v>358</v>
      </c>
      <c r="AX2" s="99" t="s">
        <v>359</v>
      </c>
      <c r="AY2" s="99" t="s">
        <v>353</v>
      </c>
      <c r="AZ2" s="99" t="s">
        <v>360</v>
      </c>
      <c r="BA2" s="99" t="s">
        <v>355</v>
      </c>
      <c r="BB2" s="101"/>
      <c r="BC2" s="99" t="s">
        <v>356</v>
      </c>
      <c r="BD2" s="99" t="s">
        <v>357</v>
      </c>
      <c r="BE2" s="99" t="s">
        <v>358</v>
      </c>
      <c r="BF2" s="99" t="s">
        <v>359</v>
      </c>
      <c r="BG2" s="99" t="s">
        <v>353</v>
      </c>
      <c r="BH2" s="99" t="s">
        <v>360</v>
      </c>
      <c r="BI2" s="99" t="s">
        <v>355</v>
      </c>
      <c r="BJ2" s="101"/>
      <c r="BK2" s="99" t="s">
        <v>356</v>
      </c>
      <c r="BL2" s="99" t="s">
        <v>357</v>
      </c>
      <c r="BM2" s="99" t="s">
        <v>358</v>
      </c>
      <c r="BN2" s="99" t="s">
        <v>359</v>
      </c>
      <c r="BO2" s="99" t="s">
        <v>353</v>
      </c>
      <c r="BP2" s="99" t="s">
        <v>360</v>
      </c>
      <c r="BQ2" s="99" t="s">
        <v>355</v>
      </c>
      <c r="BR2" s="101"/>
      <c r="BS2" s="99" t="s">
        <v>356</v>
      </c>
      <c r="BT2" s="99" t="s">
        <v>357</v>
      </c>
    </row>
    <row r="3">
      <c r="A3" s="102" t="s">
        <v>362</v>
      </c>
      <c r="B3" s="103" t="s">
        <v>363</v>
      </c>
      <c r="C3" s="104" t="s">
        <v>364</v>
      </c>
      <c r="D3" s="105" t="s">
        <v>365</v>
      </c>
      <c r="E3" s="104" t="s">
        <v>364</v>
      </c>
      <c r="F3" s="76"/>
      <c r="G3" s="104" t="s">
        <v>364</v>
      </c>
      <c r="H3" s="105" t="s">
        <v>365</v>
      </c>
      <c r="I3" s="104" t="s">
        <v>364</v>
      </c>
      <c r="J3" s="104" t="s">
        <v>364</v>
      </c>
      <c r="K3" s="106" t="s">
        <v>366</v>
      </c>
      <c r="L3" s="105" t="s">
        <v>365</v>
      </c>
      <c r="M3" s="105" t="s">
        <v>365</v>
      </c>
      <c r="N3" s="76"/>
      <c r="O3" s="105" t="s">
        <v>365</v>
      </c>
      <c r="P3" s="104" t="s">
        <v>364</v>
      </c>
      <c r="Q3" s="105" t="s">
        <v>365</v>
      </c>
      <c r="R3" s="105" t="s">
        <v>365</v>
      </c>
      <c r="S3" s="105" t="s">
        <v>365</v>
      </c>
      <c r="T3" s="104" t="s">
        <v>364</v>
      </c>
      <c r="U3" s="104" t="s">
        <v>364</v>
      </c>
      <c r="V3" s="76"/>
      <c r="W3" s="105" t="s">
        <v>365</v>
      </c>
      <c r="X3" s="105" t="s">
        <v>365</v>
      </c>
      <c r="Y3" s="104" t="s">
        <v>364</v>
      </c>
      <c r="Z3" s="104" t="s">
        <v>364</v>
      </c>
      <c r="AA3" s="104" t="s">
        <v>364</v>
      </c>
      <c r="AB3" s="105" t="s">
        <v>365</v>
      </c>
      <c r="AC3" s="105" t="s">
        <v>365</v>
      </c>
      <c r="AD3" s="76"/>
      <c r="AE3" s="105" t="s">
        <v>365</v>
      </c>
      <c r="AF3" s="104" t="s">
        <v>364</v>
      </c>
      <c r="AG3" s="105" t="s">
        <v>365</v>
      </c>
      <c r="AH3" s="105" t="s">
        <v>365</v>
      </c>
      <c r="AI3" s="105" t="s">
        <v>365</v>
      </c>
      <c r="AJ3" s="104" t="s">
        <v>364</v>
      </c>
      <c r="AK3" s="104" t="s">
        <v>364</v>
      </c>
      <c r="AL3" s="76"/>
      <c r="AM3" s="105" t="str">
        <f t="shared" ref="AM3:AN3" si="1">IF(LOWER(TRIM($AL$2))="compensado",Compensado!B3,'Horas extras'!B3)</f>
        <v>#REF!</v>
      </c>
      <c r="AN3" s="105" t="str">
        <f t="shared" si="1"/>
        <v>#REF!</v>
      </c>
      <c r="AO3" s="104" t="s">
        <v>364</v>
      </c>
      <c r="AP3" s="104" t="str">
        <f t="shared" ref="AP3:BT3" si="2">IF(LOWER(TRIM($AL$2))="compensado",Compensado!E3,'Horas extras'!E3)</f>
        <v>#REF!</v>
      </c>
      <c r="AQ3" s="104" t="str">
        <f t="shared" si="2"/>
        <v>#REF!</v>
      </c>
      <c r="AR3" s="105" t="str">
        <f t="shared" si="2"/>
        <v>#REF!</v>
      </c>
      <c r="AS3" s="105" t="str">
        <f t="shared" si="2"/>
        <v>#REF!</v>
      </c>
      <c r="AT3" s="107" t="str">
        <f t="shared" si="2"/>
        <v>#REF!</v>
      </c>
      <c r="AU3" s="105" t="str">
        <f t="shared" si="2"/>
        <v>#REF!</v>
      </c>
      <c r="AV3" s="104" t="str">
        <f t="shared" si="2"/>
        <v>#REF!</v>
      </c>
      <c r="AW3" s="105" t="str">
        <f t="shared" si="2"/>
        <v>#REF!</v>
      </c>
      <c r="AX3" s="105" t="str">
        <f t="shared" si="2"/>
        <v>#REF!</v>
      </c>
      <c r="AY3" s="105" t="str">
        <f t="shared" si="2"/>
        <v>#REF!</v>
      </c>
      <c r="AZ3" s="104" t="str">
        <f t="shared" si="2"/>
        <v>#REF!</v>
      </c>
      <c r="BA3" s="104" t="str">
        <f t="shared" si="2"/>
        <v>#REF!</v>
      </c>
      <c r="BB3" s="107" t="str">
        <f t="shared" si="2"/>
        <v>#REF!</v>
      </c>
      <c r="BC3" s="105" t="str">
        <f t="shared" si="2"/>
        <v>#REF!</v>
      </c>
      <c r="BD3" s="105" t="str">
        <f t="shared" si="2"/>
        <v>#REF!</v>
      </c>
      <c r="BE3" s="104" t="str">
        <f t="shared" si="2"/>
        <v>#REF!</v>
      </c>
      <c r="BF3" s="104" t="str">
        <f t="shared" si="2"/>
        <v>#REF!</v>
      </c>
      <c r="BG3" s="104" t="str">
        <f t="shared" si="2"/>
        <v>#REF!</v>
      </c>
      <c r="BH3" s="105" t="str">
        <f t="shared" si="2"/>
        <v>#REF!</v>
      </c>
      <c r="BI3" s="105" t="str">
        <f t="shared" si="2"/>
        <v>#REF!</v>
      </c>
      <c r="BJ3" s="107" t="str">
        <f t="shared" si="2"/>
        <v>#REF!</v>
      </c>
      <c r="BK3" s="105" t="str">
        <f t="shared" si="2"/>
        <v>#REF!</v>
      </c>
      <c r="BL3" s="104" t="str">
        <f t="shared" si="2"/>
        <v>#REF!</v>
      </c>
      <c r="BM3" s="105" t="str">
        <f t="shared" si="2"/>
        <v>#REF!</v>
      </c>
      <c r="BN3" s="105" t="str">
        <f t="shared" si="2"/>
        <v>#REF!</v>
      </c>
      <c r="BO3" s="105" t="str">
        <f t="shared" si="2"/>
        <v>#REF!</v>
      </c>
      <c r="BP3" s="104" t="str">
        <f t="shared" si="2"/>
        <v>#REF!</v>
      </c>
      <c r="BQ3" s="104" t="str">
        <f t="shared" si="2"/>
        <v>#REF!</v>
      </c>
      <c r="BR3" s="107" t="str">
        <f t="shared" si="2"/>
        <v>#REF!</v>
      </c>
      <c r="BS3" s="105" t="str">
        <f t="shared" si="2"/>
        <v>#REF!</v>
      </c>
      <c r="BT3" s="105" t="str">
        <f t="shared" si="2"/>
        <v>#REF!</v>
      </c>
    </row>
    <row r="4">
      <c r="A4" s="102" t="s">
        <v>362</v>
      </c>
      <c r="B4" s="108" t="s">
        <v>367</v>
      </c>
      <c r="C4" s="104" t="s">
        <v>364</v>
      </c>
      <c r="D4" s="104" t="s">
        <v>364</v>
      </c>
      <c r="E4" s="104" t="s">
        <v>364</v>
      </c>
      <c r="F4" s="76"/>
      <c r="G4" s="105" t="s">
        <v>365</v>
      </c>
      <c r="H4" s="105" t="s">
        <v>365</v>
      </c>
      <c r="I4" s="104" t="s">
        <v>364</v>
      </c>
      <c r="J4" s="104" t="s">
        <v>364</v>
      </c>
      <c r="K4" s="104" t="s">
        <v>364</v>
      </c>
      <c r="L4" s="105" t="s">
        <v>365</v>
      </c>
      <c r="M4" s="105" t="s">
        <v>365</v>
      </c>
      <c r="N4" s="76"/>
      <c r="O4" s="105" t="s">
        <v>365</v>
      </c>
      <c r="P4" s="104" t="s">
        <v>364</v>
      </c>
      <c r="Q4" s="109" t="s">
        <v>365</v>
      </c>
      <c r="R4" s="109" t="s">
        <v>365</v>
      </c>
      <c r="S4" s="109" t="s">
        <v>365</v>
      </c>
      <c r="T4" s="104" t="s">
        <v>364</v>
      </c>
      <c r="U4" s="104" t="s">
        <v>364</v>
      </c>
      <c r="V4" s="76"/>
      <c r="W4" s="104" t="s">
        <v>364</v>
      </c>
      <c r="X4" s="105" t="s">
        <v>365</v>
      </c>
      <c r="Y4" s="104" t="s">
        <v>364</v>
      </c>
      <c r="Z4" s="104" t="s">
        <v>364</v>
      </c>
      <c r="AA4" s="105" t="s">
        <v>365</v>
      </c>
      <c r="AB4" s="105" t="s">
        <v>365</v>
      </c>
      <c r="AC4" s="105" t="s">
        <v>365</v>
      </c>
      <c r="AD4" s="76"/>
      <c r="AE4" s="105" t="s">
        <v>365</v>
      </c>
      <c r="AF4" s="104" t="s">
        <v>364</v>
      </c>
      <c r="AG4" s="109" t="s">
        <v>365</v>
      </c>
      <c r="AH4" s="109" t="s">
        <v>365</v>
      </c>
      <c r="AI4" s="109" t="s">
        <v>365</v>
      </c>
      <c r="AJ4" s="104" t="s">
        <v>364</v>
      </c>
      <c r="AK4" s="104" t="s">
        <v>364</v>
      </c>
      <c r="AL4" s="110"/>
      <c r="AM4" s="104" t="s">
        <v>364</v>
      </c>
      <c r="AN4" s="105" t="str">
        <f>IF(LOWER(TRIM($AL$2))="compensado",Compensado!C4,'Horas extras'!C4)</f>
        <v>#REF!</v>
      </c>
      <c r="AO4" s="104" t="s">
        <v>364</v>
      </c>
      <c r="AP4" s="104" t="str">
        <f t="shared" ref="AP4:BT4" si="3">IF(LOWER(TRIM($AL$2))="compensado",Compensado!E4,'Horas extras'!E4)</f>
        <v>#REF!</v>
      </c>
      <c r="AQ4" s="105" t="str">
        <f t="shared" si="3"/>
        <v>#REF!</v>
      </c>
      <c r="AR4" s="105" t="str">
        <f t="shared" si="3"/>
        <v>#REF!</v>
      </c>
      <c r="AS4" s="105" t="str">
        <f t="shared" si="3"/>
        <v>#REF!</v>
      </c>
      <c r="AT4" s="107" t="str">
        <f t="shared" si="3"/>
        <v>#REF!</v>
      </c>
      <c r="AU4" s="105" t="str">
        <f t="shared" si="3"/>
        <v>#REF!</v>
      </c>
      <c r="AV4" s="104" t="str">
        <f t="shared" si="3"/>
        <v>#REF!</v>
      </c>
      <c r="AW4" s="105" t="str">
        <f t="shared" si="3"/>
        <v>#REF!</v>
      </c>
      <c r="AX4" s="105" t="str">
        <f t="shared" si="3"/>
        <v>#REF!</v>
      </c>
      <c r="AY4" s="105" t="str">
        <f t="shared" si="3"/>
        <v>#REF!</v>
      </c>
      <c r="AZ4" s="104" t="str">
        <f t="shared" si="3"/>
        <v>#REF!</v>
      </c>
      <c r="BA4" s="104" t="str">
        <f t="shared" si="3"/>
        <v>#REF!</v>
      </c>
      <c r="BB4" s="107" t="str">
        <f t="shared" si="3"/>
        <v>#REF!</v>
      </c>
      <c r="BC4" s="104" t="str">
        <f t="shared" si="3"/>
        <v>#REF!</v>
      </c>
      <c r="BD4" s="105" t="str">
        <f t="shared" si="3"/>
        <v>#REF!</v>
      </c>
      <c r="BE4" s="104" t="str">
        <f t="shared" si="3"/>
        <v>#REF!</v>
      </c>
      <c r="BF4" s="104" t="str">
        <f t="shared" si="3"/>
        <v>#REF!</v>
      </c>
      <c r="BG4" s="105" t="str">
        <f t="shared" si="3"/>
        <v>#REF!</v>
      </c>
      <c r="BH4" s="105" t="str">
        <f t="shared" si="3"/>
        <v>#REF!</v>
      </c>
      <c r="BI4" s="105" t="str">
        <f t="shared" si="3"/>
        <v>#REF!</v>
      </c>
      <c r="BJ4" s="107" t="str">
        <f t="shared" si="3"/>
        <v>#REF!</v>
      </c>
      <c r="BK4" s="105" t="str">
        <f t="shared" si="3"/>
        <v>#REF!</v>
      </c>
      <c r="BL4" s="104" t="str">
        <f t="shared" si="3"/>
        <v>#REF!</v>
      </c>
      <c r="BM4" s="105" t="str">
        <f t="shared" si="3"/>
        <v>#REF!</v>
      </c>
      <c r="BN4" s="105" t="str">
        <f t="shared" si="3"/>
        <v>#REF!</v>
      </c>
      <c r="BO4" s="105" t="str">
        <f t="shared" si="3"/>
        <v>#REF!</v>
      </c>
      <c r="BP4" s="104" t="str">
        <f t="shared" si="3"/>
        <v>#REF!</v>
      </c>
      <c r="BQ4" s="104" t="str">
        <f t="shared" si="3"/>
        <v>#REF!</v>
      </c>
      <c r="BR4" s="107" t="str">
        <f t="shared" si="3"/>
        <v>#REF!</v>
      </c>
      <c r="BS4" s="104" t="str">
        <f t="shared" si="3"/>
        <v>#REF!</v>
      </c>
      <c r="BT4" s="105" t="str">
        <f t="shared" si="3"/>
        <v>#REF!</v>
      </c>
    </row>
    <row r="5">
      <c r="A5" s="102" t="s">
        <v>362</v>
      </c>
      <c r="B5" s="111" t="s">
        <v>368</v>
      </c>
      <c r="C5" s="104" t="s">
        <v>364</v>
      </c>
      <c r="D5" s="105" t="s">
        <v>365</v>
      </c>
      <c r="E5" s="105" t="s">
        <v>365</v>
      </c>
      <c r="F5" s="76"/>
      <c r="G5" s="105" t="s">
        <v>365</v>
      </c>
      <c r="H5" s="104" t="s">
        <v>364</v>
      </c>
      <c r="I5" s="105" t="s">
        <v>365</v>
      </c>
      <c r="J5" s="105" t="s">
        <v>365</v>
      </c>
      <c r="K5" s="105" t="s">
        <v>365</v>
      </c>
      <c r="L5" s="104" t="s">
        <v>364</v>
      </c>
      <c r="M5" s="104" t="s">
        <v>364</v>
      </c>
      <c r="N5" s="76"/>
      <c r="O5" s="105" t="s">
        <v>365</v>
      </c>
      <c r="P5" s="105" t="s">
        <v>365</v>
      </c>
      <c r="Q5" s="104" t="s">
        <v>364</v>
      </c>
      <c r="R5" s="104" t="s">
        <v>364</v>
      </c>
      <c r="S5" s="104" t="s">
        <v>364</v>
      </c>
      <c r="T5" s="105" t="s">
        <v>365</v>
      </c>
      <c r="U5" s="105" t="s">
        <v>365</v>
      </c>
      <c r="V5" s="76"/>
      <c r="W5" s="105" t="s">
        <v>365</v>
      </c>
      <c r="X5" s="104" t="s">
        <v>364</v>
      </c>
      <c r="Y5" s="105" t="s">
        <v>365</v>
      </c>
      <c r="Z5" s="105" t="s">
        <v>365</v>
      </c>
      <c r="AA5" s="105" t="s">
        <v>365</v>
      </c>
      <c r="AB5" s="104" t="s">
        <v>364</v>
      </c>
      <c r="AC5" s="104" t="s">
        <v>364</v>
      </c>
      <c r="AD5" s="76"/>
      <c r="AE5" s="105" t="s">
        <v>365</v>
      </c>
      <c r="AF5" s="105" t="s">
        <v>365</v>
      </c>
      <c r="AG5" s="104" t="s">
        <v>364</v>
      </c>
      <c r="AH5" s="104" t="s">
        <v>364</v>
      </c>
      <c r="AI5" s="104" t="s">
        <v>364</v>
      </c>
      <c r="AJ5" s="105" t="s">
        <v>365</v>
      </c>
      <c r="AK5" s="105" t="s">
        <v>365</v>
      </c>
      <c r="AL5" s="76"/>
      <c r="AM5" s="105" t="str">
        <f t="shared" ref="AM5:AM6" si="5">IF(LOWER(TRIM($AL$2))="compensado",Compensado!B5,'Horas extras'!B5)</f>
        <v>#REF!</v>
      </c>
      <c r="AN5" s="104" t="s">
        <v>364</v>
      </c>
      <c r="AO5" s="105" t="str">
        <f t="shared" ref="AO5:BT5" si="4">IF(LOWER(TRIM($AL$2))="compensado",Compensado!D5,'Horas extras'!D5)</f>
        <v>#REF!</v>
      </c>
      <c r="AP5" s="105" t="str">
        <f t="shared" si="4"/>
        <v>#REF!</v>
      </c>
      <c r="AQ5" s="105" t="str">
        <f t="shared" si="4"/>
        <v>#REF!</v>
      </c>
      <c r="AR5" s="104" t="str">
        <f t="shared" si="4"/>
        <v>#REF!</v>
      </c>
      <c r="AS5" s="104" t="str">
        <f t="shared" si="4"/>
        <v>#REF!</v>
      </c>
      <c r="AT5" s="107" t="str">
        <f t="shared" si="4"/>
        <v>#REF!</v>
      </c>
      <c r="AU5" s="105" t="str">
        <f t="shared" si="4"/>
        <v>#REF!</v>
      </c>
      <c r="AV5" s="105" t="str">
        <f t="shared" si="4"/>
        <v>#REF!</v>
      </c>
      <c r="AW5" s="104" t="str">
        <f t="shared" si="4"/>
        <v>#REF!</v>
      </c>
      <c r="AX5" s="104" t="str">
        <f t="shared" si="4"/>
        <v>#REF!</v>
      </c>
      <c r="AY5" s="104" t="str">
        <f t="shared" si="4"/>
        <v>#REF!</v>
      </c>
      <c r="AZ5" s="105" t="str">
        <f t="shared" si="4"/>
        <v>#REF!</v>
      </c>
      <c r="BA5" s="105" t="str">
        <f t="shared" si="4"/>
        <v>#REF!</v>
      </c>
      <c r="BB5" s="107" t="str">
        <f t="shared" si="4"/>
        <v>#REF!</v>
      </c>
      <c r="BC5" s="105" t="str">
        <f t="shared" si="4"/>
        <v>#REF!</v>
      </c>
      <c r="BD5" s="104" t="str">
        <f t="shared" si="4"/>
        <v>#REF!</v>
      </c>
      <c r="BE5" s="105" t="str">
        <f t="shared" si="4"/>
        <v>#REF!</v>
      </c>
      <c r="BF5" s="105" t="str">
        <f t="shared" si="4"/>
        <v>#REF!</v>
      </c>
      <c r="BG5" s="105" t="str">
        <f t="shared" si="4"/>
        <v>#REF!</v>
      </c>
      <c r="BH5" s="104" t="str">
        <f t="shared" si="4"/>
        <v>#REF!</v>
      </c>
      <c r="BI5" s="104" t="str">
        <f t="shared" si="4"/>
        <v>#REF!</v>
      </c>
      <c r="BJ5" s="107" t="str">
        <f t="shared" si="4"/>
        <v>#REF!</v>
      </c>
      <c r="BK5" s="105" t="str">
        <f t="shared" si="4"/>
        <v>#REF!</v>
      </c>
      <c r="BL5" s="105" t="str">
        <f t="shared" si="4"/>
        <v>#REF!</v>
      </c>
      <c r="BM5" s="104" t="str">
        <f t="shared" si="4"/>
        <v>#REF!</v>
      </c>
      <c r="BN5" s="104" t="str">
        <f t="shared" si="4"/>
        <v>#REF!</v>
      </c>
      <c r="BO5" s="104" t="str">
        <f t="shared" si="4"/>
        <v>#REF!</v>
      </c>
      <c r="BP5" s="105" t="str">
        <f t="shared" si="4"/>
        <v>#REF!</v>
      </c>
      <c r="BQ5" s="105" t="str">
        <f t="shared" si="4"/>
        <v>#REF!</v>
      </c>
      <c r="BR5" s="107" t="str">
        <f t="shared" si="4"/>
        <v>#REF!</v>
      </c>
      <c r="BS5" s="105" t="str">
        <f t="shared" si="4"/>
        <v>#REF!</v>
      </c>
      <c r="BT5" s="104" t="str">
        <f t="shared" si="4"/>
        <v>#REF!</v>
      </c>
    </row>
    <row r="6">
      <c r="A6" s="102" t="s">
        <v>362</v>
      </c>
      <c r="B6" s="112" t="s">
        <v>369</v>
      </c>
      <c r="C6" s="104" t="s">
        <v>364</v>
      </c>
      <c r="D6" s="105" t="s">
        <v>365</v>
      </c>
      <c r="E6" s="105" t="s">
        <v>365</v>
      </c>
      <c r="F6" s="76"/>
      <c r="G6" s="105" t="s">
        <v>365</v>
      </c>
      <c r="H6" s="104" t="s">
        <v>364</v>
      </c>
      <c r="I6" s="109" t="s">
        <v>365</v>
      </c>
      <c r="J6" s="109" t="s">
        <v>365</v>
      </c>
      <c r="K6" s="109" t="s">
        <v>365</v>
      </c>
      <c r="L6" s="104" t="s">
        <v>364</v>
      </c>
      <c r="M6" s="104" t="s">
        <v>364</v>
      </c>
      <c r="N6" s="76"/>
      <c r="O6" s="104" t="s">
        <v>364</v>
      </c>
      <c r="P6" s="105" t="s">
        <v>365</v>
      </c>
      <c r="Q6" s="104" t="s">
        <v>364</v>
      </c>
      <c r="R6" s="104" t="s">
        <v>364</v>
      </c>
      <c r="S6" s="106" t="s">
        <v>366</v>
      </c>
      <c r="T6" s="105" t="s">
        <v>365</v>
      </c>
      <c r="U6" s="105" t="s">
        <v>365</v>
      </c>
      <c r="V6" s="76"/>
      <c r="W6" s="105" t="s">
        <v>365</v>
      </c>
      <c r="X6" s="104" t="s">
        <v>364</v>
      </c>
      <c r="Y6" s="109" t="s">
        <v>365</v>
      </c>
      <c r="Z6" s="109" t="s">
        <v>365</v>
      </c>
      <c r="AA6" s="109" t="s">
        <v>365</v>
      </c>
      <c r="AB6" s="104" t="s">
        <v>364</v>
      </c>
      <c r="AC6" s="104" t="s">
        <v>364</v>
      </c>
      <c r="AD6" s="76"/>
      <c r="AE6" s="104" t="s">
        <v>364</v>
      </c>
      <c r="AF6" s="105" t="s">
        <v>365</v>
      </c>
      <c r="AG6" s="104" t="s">
        <v>364</v>
      </c>
      <c r="AH6" s="104" t="s">
        <v>364</v>
      </c>
      <c r="AI6" s="105" t="s">
        <v>365</v>
      </c>
      <c r="AJ6" s="105" t="s">
        <v>365</v>
      </c>
      <c r="AK6" s="105" t="s">
        <v>365</v>
      </c>
      <c r="AL6" s="76"/>
      <c r="AM6" s="105" t="str">
        <f t="shared" si="5"/>
        <v>#REF!</v>
      </c>
      <c r="AN6" s="104" t="s">
        <v>364</v>
      </c>
      <c r="AO6" s="105" t="str">
        <f t="shared" ref="AO6:BT6" si="6">IF(LOWER(TRIM($AL$2))="compensado",Compensado!D6,'Horas extras'!D6)</f>
        <v>#REF!</v>
      </c>
      <c r="AP6" s="105" t="str">
        <f t="shared" si="6"/>
        <v>#REF!</v>
      </c>
      <c r="AQ6" s="105" t="str">
        <f t="shared" si="6"/>
        <v>#REF!</v>
      </c>
      <c r="AR6" s="104" t="str">
        <f t="shared" si="6"/>
        <v>#REF!</v>
      </c>
      <c r="AS6" s="104" t="str">
        <f t="shared" si="6"/>
        <v>#REF!</v>
      </c>
      <c r="AT6" s="107" t="str">
        <f t="shared" si="6"/>
        <v>#REF!</v>
      </c>
      <c r="AU6" s="104" t="str">
        <f t="shared" si="6"/>
        <v>#REF!</v>
      </c>
      <c r="AV6" s="105" t="str">
        <f t="shared" si="6"/>
        <v>#REF!</v>
      </c>
      <c r="AW6" s="104" t="str">
        <f t="shared" si="6"/>
        <v>#REF!</v>
      </c>
      <c r="AX6" s="104" t="str">
        <f t="shared" si="6"/>
        <v>#REF!</v>
      </c>
      <c r="AY6" s="105" t="str">
        <f t="shared" si="6"/>
        <v>#REF!</v>
      </c>
      <c r="AZ6" s="105" t="str">
        <f t="shared" si="6"/>
        <v>#REF!</v>
      </c>
      <c r="BA6" s="105" t="str">
        <f t="shared" si="6"/>
        <v>#REF!</v>
      </c>
      <c r="BB6" s="107" t="str">
        <f t="shared" si="6"/>
        <v>#REF!</v>
      </c>
      <c r="BC6" s="105" t="str">
        <f t="shared" si="6"/>
        <v>#REF!</v>
      </c>
      <c r="BD6" s="104" t="str">
        <f t="shared" si="6"/>
        <v>#REF!</v>
      </c>
      <c r="BE6" s="105" t="str">
        <f t="shared" si="6"/>
        <v>#REF!</v>
      </c>
      <c r="BF6" s="105" t="str">
        <f t="shared" si="6"/>
        <v>#REF!</v>
      </c>
      <c r="BG6" s="105" t="str">
        <f t="shared" si="6"/>
        <v>#REF!</v>
      </c>
      <c r="BH6" s="104" t="str">
        <f t="shared" si="6"/>
        <v>#REF!</v>
      </c>
      <c r="BI6" s="104" t="str">
        <f t="shared" si="6"/>
        <v>#REF!</v>
      </c>
      <c r="BJ6" s="107" t="str">
        <f t="shared" si="6"/>
        <v>#REF!</v>
      </c>
      <c r="BK6" s="104" t="str">
        <f t="shared" si="6"/>
        <v>#REF!</v>
      </c>
      <c r="BL6" s="105" t="str">
        <f t="shared" si="6"/>
        <v>#REF!</v>
      </c>
      <c r="BM6" s="104" t="str">
        <f t="shared" si="6"/>
        <v>#REF!</v>
      </c>
      <c r="BN6" s="104" t="str">
        <f t="shared" si="6"/>
        <v>#REF!</v>
      </c>
      <c r="BO6" s="105" t="str">
        <f t="shared" si="6"/>
        <v>#REF!</v>
      </c>
      <c r="BP6" s="105" t="str">
        <f t="shared" si="6"/>
        <v>#REF!</v>
      </c>
      <c r="BQ6" s="105" t="str">
        <f t="shared" si="6"/>
        <v>#REF!</v>
      </c>
      <c r="BR6" s="107" t="str">
        <f t="shared" si="6"/>
        <v>#REF!</v>
      </c>
      <c r="BS6" s="105" t="str">
        <f t="shared" si="6"/>
        <v>#REF!</v>
      </c>
      <c r="BT6" s="104" t="str">
        <f t="shared" si="6"/>
        <v>#REF!</v>
      </c>
    </row>
    <row r="7">
      <c r="A7" s="76"/>
      <c r="B7" s="76"/>
      <c r="C7" s="113">
        <f t="shared" ref="C7:E7" si="7">COUNTIFS(C3:C6, "full")</f>
        <v>0</v>
      </c>
      <c r="D7" s="114">
        <f t="shared" si="7"/>
        <v>3</v>
      </c>
      <c r="E7" s="115">
        <f t="shared" si="7"/>
        <v>2</v>
      </c>
      <c r="F7" s="76"/>
      <c r="G7" s="114">
        <f t="shared" ref="G7:M7" si="8">COUNTIFS(G3:G6, "full")</f>
        <v>3</v>
      </c>
      <c r="H7" s="115">
        <f t="shared" si="8"/>
        <v>2</v>
      </c>
      <c r="I7" s="115">
        <f t="shared" si="8"/>
        <v>2</v>
      </c>
      <c r="J7" s="115">
        <f t="shared" si="8"/>
        <v>2</v>
      </c>
      <c r="K7" s="115">
        <f t="shared" si="8"/>
        <v>2</v>
      </c>
      <c r="L7" s="115">
        <f t="shared" si="8"/>
        <v>2</v>
      </c>
      <c r="M7" s="115">
        <f t="shared" si="8"/>
        <v>2</v>
      </c>
      <c r="N7" s="76"/>
      <c r="O7" s="114">
        <f t="shared" ref="O7:U7" si="9">COUNTIFS(O3:O6, "full")</f>
        <v>3</v>
      </c>
      <c r="P7" s="115">
        <f t="shared" si="9"/>
        <v>2</v>
      </c>
      <c r="Q7" s="115">
        <f t="shared" si="9"/>
        <v>2</v>
      </c>
      <c r="R7" s="115">
        <f t="shared" si="9"/>
        <v>2</v>
      </c>
      <c r="S7" s="115">
        <f t="shared" si="9"/>
        <v>2</v>
      </c>
      <c r="T7" s="115">
        <f t="shared" si="9"/>
        <v>2</v>
      </c>
      <c r="U7" s="115">
        <f t="shared" si="9"/>
        <v>2</v>
      </c>
      <c r="V7" s="76"/>
      <c r="W7" s="114">
        <f t="shared" ref="W7:AC7" si="10">COUNTIFS(W3:W6, "full")</f>
        <v>3</v>
      </c>
      <c r="X7" s="115">
        <f t="shared" si="10"/>
        <v>2</v>
      </c>
      <c r="Y7" s="115">
        <f t="shared" si="10"/>
        <v>2</v>
      </c>
      <c r="Z7" s="115">
        <f t="shared" si="10"/>
        <v>2</v>
      </c>
      <c r="AA7" s="114">
        <f t="shared" si="10"/>
        <v>3</v>
      </c>
      <c r="AB7" s="115">
        <f t="shared" si="10"/>
        <v>2</v>
      </c>
      <c r="AC7" s="115">
        <f t="shared" si="10"/>
        <v>2</v>
      </c>
      <c r="AD7" s="76"/>
      <c r="AE7" s="114">
        <f t="shared" ref="AE7:AK7" si="11">COUNTIFS(AE3:AE6, "full")</f>
        <v>3</v>
      </c>
      <c r="AF7" s="115">
        <f t="shared" si="11"/>
        <v>2</v>
      </c>
      <c r="AG7" s="115">
        <f t="shared" si="11"/>
        <v>2</v>
      </c>
      <c r="AH7" s="115">
        <f t="shared" si="11"/>
        <v>2</v>
      </c>
      <c r="AI7" s="114">
        <f t="shared" si="11"/>
        <v>3</v>
      </c>
      <c r="AJ7" s="115">
        <f t="shared" si="11"/>
        <v>2</v>
      </c>
      <c r="AK7" s="115">
        <f t="shared" si="11"/>
        <v>2</v>
      </c>
      <c r="AL7" s="76"/>
      <c r="AM7" s="114">
        <f t="shared" ref="AM7:AS7" si="12">COUNTIFS(AM3:AM6, "full")</f>
        <v>0</v>
      </c>
      <c r="AN7" s="115">
        <f t="shared" si="12"/>
        <v>0</v>
      </c>
      <c r="AO7" s="115">
        <f t="shared" si="12"/>
        <v>0</v>
      </c>
      <c r="AP7" s="115">
        <f t="shared" si="12"/>
        <v>0</v>
      </c>
      <c r="AQ7" s="114">
        <f t="shared" si="12"/>
        <v>0</v>
      </c>
      <c r="AR7" s="115">
        <f t="shared" si="12"/>
        <v>0</v>
      </c>
      <c r="AS7" s="115">
        <f t="shared" si="12"/>
        <v>0</v>
      </c>
      <c r="AT7" s="76"/>
      <c r="AU7" s="114">
        <f t="shared" ref="AU7:BA7" si="13">COUNTIFS(AU3:AU6, "full")</f>
        <v>0</v>
      </c>
      <c r="AV7" s="115">
        <f t="shared" si="13"/>
        <v>0</v>
      </c>
      <c r="AW7" s="115">
        <f t="shared" si="13"/>
        <v>0</v>
      </c>
      <c r="AX7" s="115">
        <f t="shared" si="13"/>
        <v>0</v>
      </c>
      <c r="AY7" s="114">
        <f t="shared" si="13"/>
        <v>0</v>
      </c>
      <c r="AZ7" s="115">
        <f t="shared" si="13"/>
        <v>0</v>
      </c>
      <c r="BA7" s="115">
        <f t="shared" si="13"/>
        <v>0</v>
      </c>
      <c r="BB7" s="76"/>
      <c r="BC7" s="114">
        <f t="shared" ref="BC7:BI7" si="14">COUNTIFS(BC3:BC6, "full")</f>
        <v>0</v>
      </c>
      <c r="BD7" s="115">
        <f t="shared" si="14"/>
        <v>0</v>
      </c>
      <c r="BE7" s="115">
        <f t="shared" si="14"/>
        <v>0</v>
      </c>
      <c r="BF7" s="115">
        <f t="shared" si="14"/>
        <v>0</v>
      </c>
      <c r="BG7" s="114">
        <f t="shared" si="14"/>
        <v>0</v>
      </c>
      <c r="BH7" s="115">
        <f t="shared" si="14"/>
        <v>0</v>
      </c>
      <c r="BI7" s="115">
        <f t="shared" si="14"/>
        <v>0</v>
      </c>
      <c r="BJ7" s="76"/>
      <c r="BK7" s="114">
        <f t="shared" ref="BK7:BQ7" si="15">COUNTIFS(BK3:BK6, "full")</f>
        <v>0</v>
      </c>
      <c r="BL7" s="115">
        <f t="shared" si="15"/>
        <v>0</v>
      </c>
      <c r="BM7" s="115">
        <f t="shared" si="15"/>
        <v>0</v>
      </c>
      <c r="BN7" s="115">
        <f t="shared" si="15"/>
        <v>0</v>
      </c>
      <c r="BO7" s="114">
        <f t="shared" si="15"/>
        <v>0</v>
      </c>
      <c r="BP7" s="115">
        <f t="shared" si="15"/>
        <v>0</v>
      </c>
      <c r="BQ7" s="115">
        <f t="shared" si="15"/>
        <v>0</v>
      </c>
      <c r="BR7" s="76"/>
      <c r="BS7" s="114">
        <f t="shared" ref="BS7:BT7" si="16">COUNTIFS(BS3:BS6, "full")</f>
        <v>0</v>
      </c>
      <c r="BT7" s="115">
        <f t="shared" si="16"/>
        <v>0</v>
      </c>
    </row>
    <row r="8">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6"/>
      <c r="BK8" s="76"/>
      <c r="BL8" s="76"/>
      <c r="BM8" s="76"/>
      <c r="BN8" s="76"/>
      <c r="BO8" s="76"/>
      <c r="BP8" s="76"/>
      <c r="BQ8" s="76"/>
      <c r="BR8" s="76"/>
      <c r="BS8" s="76"/>
      <c r="BT8" s="76"/>
    </row>
    <row r="9">
      <c r="A9" s="102" t="s">
        <v>370</v>
      </c>
      <c r="B9" s="112" t="s">
        <v>371</v>
      </c>
      <c r="C9" s="104" t="s">
        <v>364</v>
      </c>
      <c r="D9" s="105" t="s">
        <v>365</v>
      </c>
      <c r="E9" s="104" t="s">
        <v>364</v>
      </c>
      <c r="F9" s="76"/>
      <c r="G9" s="105" t="s">
        <v>365</v>
      </c>
      <c r="H9" s="105" t="s">
        <v>365</v>
      </c>
      <c r="I9" s="104" t="s">
        <v>364</v>
      </c>
      <c r="J9" s="104" t="s">
        <v>364</v>
      </c>
      <c r="K9" s="104" t="s">
        <v>364</v>
      </c>
      <c r="L9" s="105" t="s">
        <v>365</v>
      </c>
      <c r="M9" s="105" t="s">
        <v>365</v>
      </c>
      <c r="N9" s="76"/>
      <c r="O9" s="105" t="s">
        <v>365</v>
      </c>
      <c r="P9" s="104" t="s">
        <v>364</v>
      </c>
      <c r="Q9" s="105" t="s">
        <v>365</v>
      </c>
      <c r="R9" s="105" t="s">
        <v>365</v>
      </c>
      <c r="S9" s="105" t="s">
        <v>365</v>
      </c>
      <c r="T9" s="104" t="s">
        <v>364</v>
      </c>
      <c r="U9" s="104" t="s">
        <v>364</v>
      </c>
      <c r="V9" s="76"/>
      <c r="W9" s="105" t="s">
        <v>365</v>
      </c>
      <c r="X9" s="105" t="s">
        <v>365</v>
      </c>
      <c r="Y9" s="104" t="s">
        <v>364</v>
      </c>
      <c r="Z9" s="104" t="s">
        <v>364</v>
      </c>
      <c r="AA9" s="104" t="s">
        <v>364</v>
      </c>
      <c r="AB9" s="105" t="s">
        <v>365</v>
      </c>
      <c r="AC9" s="105" t="s">
        <v>365</v>
      </c>
      <c r="AD9" s="76"/>
      <c r="AE9" s="105" t="s">
        <v>365</v>
      </c>
      <c r="AF9" s="104" t="s">
        <v>364</v>
      </c>
      <c r="AG9" s="105" t="s">
        <v>365</v>
      </c>
      <c r="AH9" s="105" t="s">
        <v>365</v>
      </c>
      <c r="AI9" s="105" t="s">
        <v>365</v>
      </c>
      <c r="AJ9" s="104" t="s">
        <v>364</v>
      </c>
      <c r="AK9" s="104" t="s">
        <v>364</v>
      </c>
      <c r="AL9" s="116" t="s">
        <v>361</v>
      </c>
      <c r="AM9" s="105" t="str">
        <f t="shared" ref="AM9:AN9" si="17">IF(LOWER(TRIM($AL$9))="compensado",Compensado!B3,'Horas extras'!B3)</f>
        <v>#REF!</v>
      </c>
      <c r="AN9" s="105" t="str">
        <f t="shared" si="17"/>
        <v>#REF!</v>
      </c>
      <c r="AO9" s="104" t="s">
        <v>364</v>
      </c>
      <c r="AP9" s="104" t="s">
        <v>364</v>
      </c>
      <c r="AQ9" s="104" t="str">
        <f t="shared" ref="AQ9:BT9" si="18">IF(LOWER(TRIM($AL$9))="compensado",Compensado!F3,'Horas extras'!F3)</f>
        <v>#REF!</v>
      </c>
      <c r="AR9" s="105" t="str">
        <f t="shared" si="18"/>
        <v>#REF!</v>
      </c>
      <c r="AS9" s="105" t="str">
        <f t="shared" si="18"/>
        <v>#REF!</v>
      </c>
      <c r="AT9" s="107" t="str">
        <f t="shared" si="18"/>
        <v>#REF!</v>
      </c>
      <c r="AU9" s="105" t="str">
        <f t="shared" si="18"/>
        <v>#REF!</v>
      </c>
      <c r="AV9" s="104" t="str">
        <f t="shared" si="18"/>
        <v>#REF!</v>
      </c>
      <c r="AW9" s="105" t="str">
        <f t="shared" si="18"/>
        <v>#REF!</v>
      </c>
      <c r="AX9" s="105" t="str">
        <f t="shared" si="18"/>
        <v>#REF!</v>
      </c>
      <c r="AY9" s="105" t="str">
        <f t="shared" si="18"/>
        <v>#REF!</v>
      </c>
      <c r="AZ9" s="104" t="str">
        <f t="shared" si="18"/>
        <v>#REF!</v>
      </c>
      <c r="BA9" s="104" t="str">
        <f t="shared" si="18"/>
        <v>#REF!</v>
      </c>
      <c r="BB9" s="107" t="str">
        <f t="shared" si="18"/>
        <v>#REF!</v>
      </c>
      <c r="BC9" s="105" t="str">
        <f t="shared" si="18"/>
        <v>#REF!</v>
      </c>
      <c r="BD9" s="105" t="str">
        <f t="shared" si="18"/>
        <v>#REF!</v>
      </c>
      <c r="BE9" s="104" t="str">
        <f t="shared" si="18"/>
        <v>#REF!</v>
      </c>
      <c r="BF9" s="104" t="str">
        <f t="shared" si="18"/>
        <v>#REF!</v>
      </c>
      <c r="BG9" s="104" t="str">
        <f t="shared" si="18"/>
        <v>#REF!</v>
      </c>
      <c r="BH9" s="105" t="str">
        <f t="shared" si="18"/>
        <v>#REF!</v>
      </c>
      <c r="BI9" s="105" t="str">
        <f t="shared" si="18"/>
        <v>#REF!</v>
      </c>
      <c r="BJ9" s="107" t="str">
        <f t="shared" si="18"/>
        <v>#REF!</v>
      </c>
      <c r="BK9" s="105" t="str">
        <f t="shared" si="18"/>
        <v>#REF!</v>
      </c>
      <c r="BL9" s="104" t="str">
        <f t="shared" si="18"/>
        <v>#REF!</v>
      </c>
      <c r="BM9" s="105" t="str">
        <f t="shared" si="18"/>
        <v>#REF!</v>
      </c>
      <c r="BN9" s="105" t="str">
        <f t="shared" si="18"/>
        <v>#REF!</v>
      </c>
      <c r="BO9" s="105" t="str">
        <f t="shared" si="18"/>
        <v>#REF!</v>
      </c>
      <c r="BP9" s="104" t="str">
        <f t="shared" si="18"/>
        <v>#REF!</v>
      </c>
      <c r="BQ9" s="104" t="str">
        <f t="shared" si="18"/>
        <v>#REF!</v>
      </c>
      <c r="BR9" s="107" t="str">
        <f t="shared" si="18"/>
        <v>#REF!</v>
      </c>
      <c r="BS9" s="105" t="str">
        <f t="shared" si="18"/>
        <v>#REF!</v>
      </c>
      <c r="BT9" s="105" t="str">
        <f t="shared" si="18"/>
        <v>#REF!</v>
      </c>
    </row>
    <row r="10">
      <c r="A10" s="102" t="s">
        <v>370</v>
      </c>
      <c r="B10" s="117" t="s">
        <v>372</v>
      </c>
      <c r="C10" s="104" t="s">
        <v>364</v>
      </c>
      <c r="D10" s="104" t="s">
        <v>364</v>
      </c>
      <c r="E10" s="105" t="s">
        <v>365</v>
      </c>
      <c r="F10" s="76"/>
      <c r="G10" s="104" t="s">
        <v>364</v>
      </c>
      <c r="H10" s="105" t="s">
        <v>365</v>
      </c>
      <c r="I10" s="104" t="s">
        <v>364</v>
      </c>
      <c r="J10" s="104" t="s">
        <v>364</v>
      </c>
      <c r="K10" s="106" t="s">
        <v>366</v>
      </c>
      <c r="L10" s="105" t="s">
        <v>365</v>
      </c>
      <c r="M10" s="105" t="s">
        <v>365</v>
      </c>
      <c r="N10" s="76"/>
      <c r="O10" s="105" t="s">
        <v>365</v>
      </c>
      <c r="P10" s="104" t="s">
        <v>364</v>
      </c>
      <c r="Q10" s="109" t="s">
        <v>365</v>
      </c>
      <c r="R10" s="109" t="s">
        <v>365</v>
      </c>
      <c r="S10" s="109" t="s">
        <v>365</v>
      </c>
      <c r="T10" s="104" t="s">
        <v>364</v>
      </c>
      <c r="U10" s="104" t="s">
        <v>364</v>
      </c>
      <c r="V10" s="76"/>
      <c r="W10" s="104" t="s">
        <v>364</v>
      </c>
      <c r="X10" s="105" t="s">
        <v>365</v>
      </c>
      <c r="Y10" s="104" t="s">
        <v>364</v>
      </c>
      <c r="Z10" s="104" t="s">
        <v>364</v>
      </c>
      <c r="AA10" s="105" t="s">
        <v>365</v>
      </c>
      <c r="AB10" s="105" t="s">
        <v>365</v>
      </c>
      <c r="AC10" s="105" t="s">
        <v>365</v>
      </c>
      <c r="AD10" s="76"/>
      <c r="AE10" s="105" t="s">
        <v>365</v>
      </c>
      <c r="AF10" s="104" t="s">
        <v>364</v>
      </c>
      <c r="AG10" s="109" t="s">
        <v>365</v>
      </c>
      <c r="AH10" s="109" t="s">
        <v>365</v>
      </c>
      <c r="AI10" s="109" t="s">
        <v>365</v>
      </c>
      <c r="AJ10" s="104" t="s">
        <v>364</v>
      </c>
      <c r="AK10" s="104" t="s">
        <v>364</v>
      </c>
      <c r="AL10" s="110"/>
      <c r="AM10" s="104" t="s">
        <v>364</v>
      </c>
      <c r="AN10" s="105" t="str">
        <f>IF(LOWER(TRIM($AL$9))="compensado",Compensado!C4,'Horas extras'!C4)</f>
        <v>#REF!</v>
      </c>
      <c r="AO10" s="118" t="s">
        <v>373</v>
      </c>
      <c r="AP10" s="104" t="str">
        <f t="shared" ref="AP10:BT10" si="19">IF(LOWER(TRIM($AL$9))="compensado",Compensado!E4,'Horas extras'!E4)</f>
        <v>#REF!</v>
      </c>
      <c r="AQ10" s="105" t="str">
        <f t="shared" si="19"/>
        <v>#REF!</v>
      </c>
      <c r="AR10" s="105" t="str">
        <f t="shared" si="19"/>
        <v>#REF!</v>
      </c>
      <c r="AS10" s="105" t="str">
        <f t="shared" si="19"/>
        <v>#REF!</v>
      </c>
      <c r="AT10" s="107" t="str">
        <f t="shared" si="19"/>
        <v>#REF!</v>
      </c>
      <c r="AU10" s="105" t="str">
        <f t="shared" si="19"/>
        <v>#REF!</v>
      </c>
      <c r="AV10" s="104" t="str">
        <f t="shared" si="19"/>
        <v>#REF!</v>
      </c>
      <c r="AW10" s="105" t="str">
        <f t="shared" si="19"/>
        <v>#REF!</v>
      </c>
      <c r="AX10" s="105" t="str">
        <f t="shared" si="19"/>
        <v>#REF!</v>
      </c>
      <c r="AY10" s="105" t="str">
        <f t="shared" si="19"/>
        <v>#REF!</v>
      </c>
      <c r="AZ10" s="104" t="str">
        <f t="shared" si="19"/>
        <v>#REF!</v>
      </c>
      <c r="BA10" s="104" t="str">
        <f t="shared" si="19"/>
        <v>#REF!</v>
      </c>
      <c r="BB10" s="107" t="str">
        <f t="shared" si="19"/>
        <v>#REF!</v>
      </c>
      <c r="BC10" s="104" t="str">
        <f t="shared" si="19"/>
        <v>#REF!</v>
      </c>
      <c r="BD10" s="105" t="str">
        <f t="shared" si="19"/>
        <v>#REF!</v>
      </c>
      <c r="BE10" s="104" t="str">
        <f t="shared" si="19"/>
        <v>#REF!</v>
      </c>
      <c r="BF10" s="104" t="str">
        <f t="shared" si="19"/>
        <v>#REF!</v>
      </c>
      <c r="BG10" s="105" t="str">
        <f t="shared" si="19"/>
        <v>#REF!</v>
      </c>
      <c r="BH10" s="105" t="str">
        <f t="shared" si="19"/>
        <v>#REF!</v>
      </c>
      <c r="BI10" s="105" t="str">
        <f t="shared" si="19"/>
        <v>#REF!</v>
      </c>
      <c r="BJ10" s="107" t="str">
        <f t="shared" si="19"/>
        <v>#REF!</v>
      </c>
      <c r="BK10" s="105" t="str">
        <f t="shared" si="19"/>
        <v>#REF!</v>
      </c>
      <c r="BL10" s="104" t="str">
        <f t="shared" si="19"/>
        <v>#REF!</v>
      </c>
      <c r="BM10" s="105" t="str">
        <f t="shared" si="19"/>
        <v>#REF!</v>
      </c>
      <c r="BN10" s="105" t="str">
        <f t="shared" si="19"/>
        <v>#REF!</v>
      </c>
      <c r="BO10" s="105" t="str">
        <f t="shared" si="19"/>
        <v>#REF!</v>
      </c>
      <c r="BP10" s="104" t="str">
        <f t="shared" si="19"/>
        <v>#REF!</v>
      </c>
      <c r="BQ10" s="104" t="str">
        <f t="shared" si="19"/>
        <v>#REF!</v>
      </c>
      <c r="BR10" s="107" t="str">
        <f t="shared" si="19"/>
        <v>#REF!</v>
      </c>
      <c r="BS10" s="104" t="str">
        <f t="shared" si="19"/>
        <v>#REF!</v>
      </c>
      <c r="BT10" s="105" t="str">
        <f t="shared" si="19"/>
        <v>#REF!</v>
      </c>
    </row>
    <row r="11">
      <c r="A11" s="102" t="s">
        <v>370</v>
      </c>
      <c r="B11" s="117" t="s">
        <v>374</v>
      </c>
      <c r="C11" s="104" t="s">
        <v>364</v>
      </c>
      <c r="D11" s="105" t="s">
        <v>365</v>
      </c>
      <c r="E11" s="104" t="s">
        <v>364</v>
      </c>
      <c r="F11" s="76"/>
      <c r="G11" s="105" t="s">
        <v>365</v>
      </c>
      <c r="H11" s="104" t="s">
        <v>364</v>
      </c>
      <c r="I11" s="105" t="s">
        <v>365</v>
      </c>
      <c r="J11" s="105" t="s">
        <v>365</v>
      </c>
      <c r="K11" s="105" t="s">
        <v>365</v>
      </c>
      <c r="L11" s="104" t="s">
        <v>364</v>
      </c>
      <c r="M11" s="104" t="s">
        <v>364</v>
      </c>
      <c r="N11" s="76"/>
      <c r="O11" s="105" t="s">
        <v>365</v>
      </c>
      <c r="P11" s="105" t="s">
        <v>365</v>
      </c>
      <c r="Q11" s="104" t="s">
        <v>364</v>
      </c>
      <c r="R11" s="104" t="s">
        <v>364</v>
      </c>
      <c r="S11" s="104" t="s">
        <v>364</v>
      </c>
      <c r="T11" s="119" t="s">
        <v>375</v>
      </c>
      <c r="U11" s="119" t="s">
        <v>375</v>
      </c>
      <c r="V11" s="76"/>
      <c r="W11" s="119" t="s">
        <v>375</v>
      </c>
      <c r="X11" s="104" t="s">
        <v>364</v>
      </c>
      <c r="Y11" s="119" t="s">
        <v>375</v>
      </c>
      <c r="Z11" s="119" t="s">
        <v>375</v>
      </c>
      <c r="AA11" s="119" t="s">
        <v>375</v>
      </c>
      <c r="AB11" s="104" t="s">
        <v>364</v>
      </c>
      <c r="AC11" s="104" t="s">
        <v>364</v>
      </c>
      <c r="AD11" s="76"/>
      <c r="AE11" s="119" t="s">
        <v>375</v>
      </c>
      <c r="AF11" s="105" t="s">
        <v>365</v>
      </c>
      <c r="AG11" s="104" t="s">
        <v>364</v>
      </c>
      <c r="AH11" s="104" t="s">
        <v>364</v>
      </c>
      <c r="AI11" s="104" t="s">
        <v>364</v>
      </c>
      <c r="AJ11" s="105" t="s">
        <v>365</v>
      </c>
      <c r="AK11" s="105" t="s">
        <v>365</v>
      </c>
      <c r="AL11" s="76"/>
      <c r="AM11" s="105" t="str">
        <f t="shared" ref="AM11:AM12" si="22">IF(LOWER(TRIM($AL$9))="compensado",Compensado!B5,'Horas extras'!B5)</f>
        <v>#REF!</v>
      </c>
      <c r="AN11" s="105" t="s">
        <v>365</v>
      </c>
      <c r="AO11" s="105" t="str">
        <f t="shared" ref="AO11:AP11" si="20">IF(LOWER(TRIM($AL$9))="compensado",Compensado!D5,'Horas extras'!D5)</f>
        <v>#REF!</v>
      </c>
      <c r="AP11" s="105" t="str">
        <f t="shared" si="20"/>
        <v>#REF!</v>
      </c>
      <c r="AQ11" s="104" t="s">
        <v>364</v>
      </c>
      <c r="AR11" s="104" t="str">
        <f t="shared" ref="AR11:BT11" si="21">IF(LOWER(TRIM($AL$9))="compensado",Compensado!G5,'Horas extras'!G5)</f>
        <v>#REF!</v>
      </c>
      <c r="AS11" s="104" t="str">
        <f t="shared" si="21"/>
        <v>#REF!</v>
      </c>
      <c r="AT11" s="107" t="str">
        <f t="shared" si="21"/>
        <v>#REF!</v>
      </c>
      <c r="AU11" s="105" t="str">
        <f t="shared" si="21"/>
        <v>#REF!</v>
      </c>
      <c r="AV11" s="105" t="str">
        <f t="shared" si="21"/>
        <v>#REF!</v>
      </c>
      <c r="AW11" s="104" t="str">
        <f t="shared" si="21"/>
        <v>#REF!</v>
      </c>
      <c r="AX11" s="104" t="str">
        <f t="shared" si="21"/>
        <v>#REF!</v>
      </c>
      <c r="AY11" s="104" t="str">
        <f t="shared" si="21"/>
        <v>#REF!</v>
      </c>
      <c r="AZ11" s="105" t="str">
        <f t="shared" si="21"/>
        <v>#REF!</v>
      </c>
      <c r="BA11" s="105" t="str">
        <f t="shared" si="21"/>
        <v>#REF!</v>
      </c>
      <c r="BB11" s="107" t="str">
        <f t="shared" si="21"/>
        <v>#REF!</v>
      </c>
      <c r="BC11" s="105" t="str">
        <f t="shared" si="21"/>
        <v>#REF!</v>
      </c>
      <c r="BD11" s="104" t="str">
        <f t="shared" si="21"/>
        <v>#REF!</v>
      </c>
      <c r="BE11" s="105" t="str">
        <f t="shared" si="21"/>
        <v>#REF!</v>
      </c>
      <c r="BF11" s="105" t="str">
        <f t="shared" si="21"/>
        <v>#REF!</v>
      </c>
      <c r="BG11" s="105" t="str">
        <f t="shared" si="21"/>
        <v>#REF!</v>
      </c>
      <c r="BH11" s="104" t="str">
        <f t="shared" si="21"/>
        <v>#REF!</v>
      </c>
      <c r="BI11" s="104" t="str">
        <f t="shared" si="21"/>
        <v>#REF!</v>
      </c>
      <c r="BJ11" s="107" t="str">
        <f t="shared" si="21"/>
        <v>#REF!</v>
      </c>
      <c r="BK11" s="105" t="str">
        <f t="shared" si="21"/>
        <v>#REF!</v>
      </c>
      <c r="BL11" s="105" t="str">
        <f t="shared" si="21"/>
        <v>#REF!</v>
      </c>
      <c r="BM11" s="104" t="str">
        <f t="shared" si="21"/>
        <v>#REF!</v>
      </c>
      <c r="BN11" s="104" t="str">
        <f t="shared" si="21"/>
        <v>#REF!</v>
      </c>
      <c r="BO11" s="104" t="str">
        <f t="shared" si="21"/>
        <v>#REF!</v>
      </c>
      <c r="BP11" s="105" t="str">
        <f t="shared" si="21"/>
        <v>#REF!</v>
      </c>
      <c r="BQ11" s="105" t="str">
        <f t="shared" si="21"/>
        <v>#REF!</v>
      </c>
      <c r="BR11" s="107" t="str">
        <f t="shared" si="21"/>
        <v>#REF!</v>
      </c>
      <c r="BS11" s="105" t="str">
        <f t="shared" si="21"/>
        <v>#REF!</v>
      </c>
      <c r="BT11" s="104" t="str">
        <f t="shared" si="21"/>
        <v>#REF!</v>
      </c>
    </row>
    <row r="12">
      <c r="A12" s="102" t="s">
        <v>370</v>
      </c>
      <c r="B12" s="117" t="s">
        <v>376</v>
      </c>
      <c r="C12" s="104" t="s">
        <v>364</v>
      </c>
      <c r="D12" s="105" t="s">
        <v>365</v>
      </c>
      <c r="E12" s="105" t="s">
        <v>365</v>
      </c>
      <c r="F12" s="76"/>
      <c r="G12" s="105" t="s">
        <v>365</v>
      </c>
      <c r="H12" s="104" t="s">
        <v>364</v>
      </c>
      <c r="I12" s="109" t="s">
        <v>365</v>
      </c>
      <c r="J12" s="109" t="s">
        <v>365</v>
      </c>
      <c r="K12" s="109" t="s">
        <v>365</v>
      </c>
      <c r="L12" s="104" t="s">
        <v>364</v>
      </c>
      <c r="M12" s="104" t="s">
        <v>364</v>
      </c>
      <c r="N12" s="76"/>
      <c r="O12" s="104" t="s">
        <v>364</v>
      </c>
      <c r="P12" s="105" t="s">
        <v>365</v>
      </c>
      <c r="Q12" s="104" t="s">
        <v>364</v>
      </c>
      <c r="R12" s="104" t="s">
        <v>364</v>
      </c>
      <c r="S12" s="106" t="s">
        <v>366</v>
      </c>
      <c r="T12" s="105" t="s">
        <v>365</v>
      </c>
      <c r="U12" s="105" t="s">
        <v>365</v>
      </c>
      <c r="V12" s="76"/>
      <c r="W12" s="105" t="s">
        <v>365</v>
      </c>
      <c r="X12" s="104" t="s">
        <v>364</v>
      </c>
      <c r="Y12" s="109" t="s">
        <v>365</v>
      </c>
      <c r="Z12" s="109" t="s">
        <v>365</v>
      </c>
      <c r="AA12" s="109" t="s">
        <v>365</v>
      </c>
      <c r="AB12" s="104" t="s">
        <v>364</v>
      </c>
      <c r="AC12" s="104" t="s">
        <v>364</v>
      </c>
      <c r="AD12" s="76"/>
      <c r="AE12" s="104" t="s">
        <v>364</v>
      </c>
      <c r="AF12" s="105" t="s">
        <v>365</v>
      </c>
      <c r="AG12" s="104" t="s">
        <v>364</v>
      </c>
      <c r="AH12" s="104" t="s">
        <v>364</v>
      </c>
      <c r="AI12" s="105" t="s">
        <v>365</v>
      </c>
      <c r="AJ12" s="105" t="s">
        <v>365</v>
      </c>
      <c r="AK12" s="106" t="s">
        <v>366</v>
      </c>
      <c r="AL12" s="76"/>
      <c r="AM12" s="105" t="str">
        <f t="shared" si="22"/>
        <v>#REF!</v>
      </c>
      <c r="AN12" s="104" t="s">
        <v>364</v>
      </c>
      <c r="AO12" s="105" t="str">
        <f t="shared" ref="AO12:AX12" si="23">IF(LOWER(TRIM($AL$9))="compensado",Compensado!D6,'Horas extras'!D6)</f>
        <v>#REF!</v>
      </c>
      <c r="AP12" s="105" t="str">
        <f t="shared" si="23"/>
        <v>#REF!</v>
      </c>
      <c r="AQ12" s="105" t="str">
        <f t="shared" si="23"/>
        <v>#REF!</v>
      </c>
      <c r="AR12" s="104" t="str">
        <f t="shared" si="23"/>
        <v>#REF!</v>
      </c>
      <c r="AS12" s="104" t="str">
        <f t="shared" si="23"/>
        <v>#REF!</v>
      </c>
      <c r="AT12" s="107" t="str">
        <f t="shared" si="23"/>
        <v>#REF!</v>
      </c>
      <c r="AU12" s="104" t="str">
        <f t="shared" si="23"/>
        <v>#REF!</v>
      </c>
      <c r="AV12" s="105" t="str">
        <f t="shared" si="23"/>
        <v>#REF!</v>
      </c>
      <c r="AW12" s="104" t="str">
        <f t="shared" si="23"/>
        <v>#REF!</v>
      </c>
      <c r="AX12" s="104" t="str">
        <f t="shared" si="23"/>
        <v>#REF!</v>
      </c>
      <c r="AY12" s="105" t="s">
        <v>377</v>
      </c>
      <c r="AZ12" s="105" t="str">
        <f t="shared" ref="AZ12:BT12" si="24">IF(LOWER(TRIM($AL$9))="compensado",Compensado!O6,'Horas extras'!O6)</f>
        <v>#REF!</v>
      </c>
      <c r="BA12" s="105" t="str">
        <f t="shared" si="24"/>
        <v>#REF!</v>
      </c>
      <c r="BB12" s="107" t="str">
        <f t="shared" si="24"/>
        <v>#REF!</v>
      </c>
      <c r="BC12" s="105" t="str">
        <f t="shared" si="24"/>
        <v>#REF!</v>
      </c>
      <c r="BD12" s="104" t="str">
        <f t="shared" si="24"/>
        <v>#REF!</v>
      </c>
      <c r="BE12" s="105" t="str">
        <f t="shared" si="24"/>
        <v>#REF!</v>
      </c>
      <c r="BF12" s="105" t="str">
        <f t="shared" si="24"/>
        <v>#REF!</v>
      </c>
      <c r="BG12" s="105" t="str">
        <f t="shared" si="24"/>
        <v>#REF!</v>
      </c>
      <c r="BH12" s="104" t="str">
        <f t="shared" si="24"/>
        <v>#REF!</v>
      </c>
      <c r="BI12" s="104" t="str">
        <f t="shared" si="24"/>
        <v>#REF!</v>
      </c>
      <c r="BJ12" s="107" t="str">
        <f t="shared" si="24"/>
        <v>#REF!</v>
      </c>
      <c r="BK12" s="104" t="str">
        <f t="shared" si="24"/>
        <v>#REF!</v>
      </c>
      <c r="BL12" s="105" t="str">
        <f t="shared" si="24"/>
        <v>#REF!</v>
      </c>
      <c r="BM12" s="104" t="str">
        <f t="shared" si="24"/>
        <v>#REF!</v>
      </c>
      <c r="BN12" s="104" t="str">
        <f t="shared" si="24"/>
        <v>#REF!</v>
      </c>
      <c r="BO12" s="105" t="str">
        <f t="shared" si="24"/>
        <v>#REF!</v>
      </c>
      <c r="BP12" s="105" t="str">
        <f t="shared" si="24"/>
        <v>#REF!</v>
      </c>
      <c r="BQ12" s="105" t="str">
        <f t="shared" si="24"/>
        <v>#REF!</v>
      </c>
      <c r="BR12" s="107" t="str">
        <f t="shared" si="24"/>
        <v>#REF!</v>
      </c>
      <c r="BS12" s="105" t="str">
        <f t="shared" si="24"/>
        <v>#REF!</v>
      </c>
      <c r="BT12" s="104" t="str">
        <f t="shared" si="24"/>
        <v>#REF!</v>
      </c>
    </row>
    <row r="13">
      <c r="A13" s="76"/>
      <c r="B13" s="76"/>
      <c r="C13" s="113">
        <f t="shared" ref="C13:D13" si="25">COUNTIFS(C9:C12, "full")</f>
        <v>0</v>
      </c>
      <c r="D13" s="114">
        <f t="shared" si="25"/>
        <v>3</v>
      </c>
      <c r="E13" s="114">
        <v>3.0</v>
      </c>
      <c r="F13" s="76"/>
      <c r="G13" s="114">
        <f t="shared" ref="G13:M13" si="26">COUNTIFS(G9:G12, "full")</f>
        <v>3</v>
      </c>
      <c r="H13" s="115">
        <f t="shared" si="26"/>
        <v>2</v>
      </c>
      <c r="I13" s="115">
        <f t="shared" si="26"/>
        <v>2</v>
      </c>
      <c r="J13" s="115">
        <f t="shared" si="26"/>
        <v>2</v>
      </c>
      <c r="K13" s="115">
        <f t="shared" si="26"/>
        <v>2</v>
      </c>
      <c r="L13" s="115">
        <f t="shared" si="26"/>
        <v>2</v>
      </c>
      <c r="M13" s="115">
        <f t="shared" si="26"/>
        <v>2</v>
      </c>
      <c r="N13" s="76"/>
      <c r="O13" s="114">
        <f t="shared" ref="O13:U13" si="27">COUNTIFS(O9:O12, "full")</f>
        <v>3</v>
      </c>
      <c r="P13" s="115">
        <f t="shared" si="27"/>
        <v>2</v>
      </c>
      <c r="Q13" s="115">
        <f t="shared" si="27"/>
        <v>2</v>
      </c>
      <c r="R13" s="115">
        <f t="shared" si="27"/>
        <v>2</v>
      </c>
      <c r="S13" s="115">
        <f t="shared" si="27"/>
        <v>2</v>
      </c>
      <c r="T13" s="120">
        <f t="shared" si="27"/>
        <v>1</v>
      </c>
      <c r="U13" s="120">
        <f t="shared" si="27"/>
        <v>1</v>
      </c>
      <c r="V13" s="76"/>
      <c r="W13" s="115">
        <f t="shared" ref="W13:AC13" si="28">COUNTIFS(W9:W12, "full")</f>
        <v>2</v>
      </c>
      <c r="X13" s="115">
        <f t="shared" si="28"/>
        <v>2</v>
      </c>
      <c r="Y13" s="120">
        <f t="shared" si="28"/>
        <v>1</v>
      </c>
      <c r="Z13" s="120">
        <f t="shared" si="28"/>
        <v>1</v>
      </c>
      <c r="AA13" s="115">
        <f t="shared" si="28"/>
        <v>2</v>
      </c>
      <c r="AB13" s="115">
        <f t="shared" si="28"/>
        <v>2</v>
      </c>
      <c r="AC13" s="115">
        <f t="shared" si="28"/>
        <v>2</v>
      </c>
      <c r="AD13" s="76"/>
      <c r="AE13" s="115">
        <f t="shared" ref="AE13:AK13" si="29">COUNTIFS(AE9:AE12, "full")</f>
        <v>2</v>
      </c>
      <c r="AF13" s="115">
        <f t="shared" si="29"/>
        <v>2</v>
      </c>
      <c r="AG13" s="115">
        <f t="shared" si="29"/>
        <v>2</v>
      </c>
      <c r="AH13" s="115">
        <f t="shared" si="29"/>
        <v>2</v>
      </c>
      <c r="AI13" s="114">
        <f t="shared" si="29"/>
        <v>3</v>
      </c>
      <c r="AJ13" s="115">
        <f t="shared" si="29"/>
        <v>2</v>
      </c>
      <c r="AK13" s="120">
        <f t="shared" si="29"/>
        <v>1</v>
      </c>
      <c r="AL13" s="76"/>
      <c r="AM13" s="114">
        <f t="shared" ref="AM13:AS13" si="30">COUNTIFS(AM9:AM12, "full")</f>
        <v>0</v>
      </c>
      <c r="AN13" s="114">
        <f t="shared" si="30"/>
        <v>1</v>
      </c>
      <c r="AO13" s="115">
        <f t="shared" si="30"/>
        <v>0</v>
      </c>
      <c r="AP13" s="115">
        <f t="shared" si="30"/>
        <v>0</v>
      </c>
      <c r="AQ13" s="115">
        <f t="shared" si="30"/>
        <v>0</v>
      </c>
      <c r="AR13" s="115">
        <f t="shared" si="30"/>
        <v>0</v>
      </c>
      <c r="AS13" s="115">
        <f t="shared" si="30"/>
        <v>0</v>
      </c>
      <c r="AT13" s="76"/>
      <c r="AU13" s="114">
        <f t="shared" ref="AU13:BA13" si="31">COUNTIFS(AU9:AU12, "full")</f>
        <v>0</v>
      </c>
      <c r="AV13" s="115">
        <f t="shared" si="31"/>
        <v>0</v>
      </c>
      <c r="AW13" s="115">
        <f t="shared" si="31"/>
        <v>0</v>
      </c>
      <c r="AX13" s="115">
        <f t="shared" si="31"/>
        <v>0</v>
      </c>
      <c r="AY13" s="114">
        <f t="shared" si="31"/>
        <v>1</v>
      </c>
      <c r="AZ13" s="115">
        <f t="shared" si="31"/>
        <v>0</v>
      </c>
      <c r="BA13" s="115">
        <f t="shared" si="31"/>
        <v>0</v>
      </c>
      <c r="BB13" s="76"/>
      <c r="BC13" s="114">
        <f t="shared" ref="BC13:BI13" si="32">COUNTIFS(BC9:BC12, "full")</f>
        <v>0</v>
      </c>
      <c r="BD13" s="115">
        <f t="shared" si="32"/>
        <v>0</v>
      </c>
      <c r="BE13" s="115">
        <f t="shared" si="32"/>
        <v>0</v>
      </c>
      <c r="BF13" s="115">
        <f t="shared" si="32"/>
        <v>0</v>
      </c>
      <c r="BG13" s="114">
        <f t="shared" si="32"/>
        <v>0</v>
      </c>
      <c r="BH13" s="115">
        <f t="shared" si="32"/>
        <v>0</v>
      </c>
      <c r="BI13" s="115">
        <f t="shared" si="32"/>
        <v>0</v>
      </c>
      <c r="BJ13" s="76"/>
      <c r="BK13" s="114">
        <f t="shared" ref="BK13:BQ13" si="33">COUNTIFS(BK9:BK12, "full")</f>
        <v>0</v>
      </c>
      <c r="BL13" s="115">
        <f t="shared" si="33"/>
        <v>0</v>
      </c>
      <c r="BM13" s="115">
        <f t="shared" si="33"/>
        <v>0</v>
      </c>
      <c r="BN13" s="115">
        <f t="shared" si="33"/>
        <v>0</v>
      </c>
      <c r="BO13" s="114">
        <f t="shared" si="33"/>
        <v>0</v>
      </c>
      <c r="BP13" s="115">
        <f t="shared" si="33"/>
        <v>0</v>
      </c>
      <c r="BQ13" s="115">
        <f t="shared" si="33"/>
        <v>0</v>
      </c>
      <c r="BR13" s="76"/>
      <c r="BS13" s="114">
        <f t="shared" ref="BS13:BT13" si="34">COUNTIFS(BS9:BS12, "full")</f>
        <v>0</v>
      </c>
      <c r="BT13" s="115">
        <f t="shared" si="34"/>
        <v>0</v>
      </c>
    </row>
    <row r="14">
      <c r="A14" s="121"/>
      <c r="B14" s="122" t="s">
        <v>378</v>
      </c>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row>
    <row r="15">
      <c r="A15" s="102" t="s">
        <v>379</v>
      </c>
      <c r="B15" s="123" t="s">
        <v>380</v>
      </c>
      <c r="C15" s="104" t="s">
        <v>381</v>
      </c>
      <c r="D15" s="104" t="s">
        <v>381</v>
      </c>
      <c r="E15" s="104" t="s">
        <v>381</v>
      </c>
      <c r="F15" s="76"/>
      <c r="G15" s="105" t="s">
        <v>382</v>
      </c>
      <c r="H15" s="105" t="s">
        <v>382</v>
      </c>
      <c r="I15" s="105" t="s">
        <v>382</v>
      </c>
      <c r="J15" s="105" t="s">
        <v>382</v>
      </c>
      <c r="K15" s="105" t="s">
        <v>382</v>
      </c>
      <c r="L15" s="104" t="s">
        <v>381</v>
      </c>
      <c r="M15" s="104" t="s">
        <v>381</v>
      </c>
      <c r="N15" s="76"/>
      <c r="O15" s="105" t="s">
        <v>382</v>
      </c>
      <c r="P15" s="105" t="s">
        <v>382</v>
      </c>
      <c r="Q15" s="105" t="s">
        <v>382</v>
      </c>
      <c r="R15" s="105" t="s">
        <v>382</v>
      </c>
      <c r="S15" s="105" t="s">
        <v>382</v>
      </c>
      <c r="T15" s="104" t="s">
        <v>381</v>
      </c>
      <c r="U15" s="104" t="s">
        <v>381</v>
      </c>
      <c r="V15" s="76"/>
      <c r="W15" s="105" t="s">
        <v>365</v>
      </c>
      <c r="X15" s="105" t="s">
        <v>365</v>
      </c>
      <c r="Y15" s="105" t="s">
        <v>365</v>
      </c>
      <c r="Z15" s="124" t="s">
        <v>381</v>
      </c>
      <c r="AA15" s="105" t="s">
        <v>365</v>
      </c>
      <c r="AB15" s="105" t="s">
        <v>365</v>
      </c>
      <c r="AC15" s="124" t="s">
        <v>381</v>
      </c>
      <c r="AD15" s="76"/>
      <c r="AE15" s="124" t="s">
        <v>381</v>
      </c>
      <c r="AF15" s="109" t="s">
        <v>365</v>
      </c>
      <c r="AG15" s="109" t="s">
        <v>365</v>
      </c>
      <c r="AH15" s="109" t="s">
        <v>365</v>
      </c>
      <c r="AI15" s="124" t="s">
        <v>381</v>
      </c>
      <c r="AJ15" s="105" t="s">
        <v>365</v>
      </c>
      <c r="AK15" s="105" t="s">
        <v>365</v>
      </c>
      <c r="AL15" s="76"/>
      <c r="AM15" s="105" t="s">
        <v>365</v>
      </c>
      <c r="AN15" s="105" t="s">
        <v>365</v>
      </c>
      <c r="AO15" s="105" t="s">
        <v>365</v>
      </c>
      <c r="AP15" s="124" t="s">
        <v>381</v>
      </c>
      <c r="AQ15" s="105" t="s">
        <v>365</v>
      </c>
      <c r="AR15" s="105" t="s">
        <v>365</v>
      </c>
      <c r="AS15" s="124" t="s">
        <v>381</v>
      </c>
      <c r="AT15" s="76"/>
      <c r="AU15" s="124" t="s">
        <v>381</v>
      </c>
      <c r="AV15" s="109" t="s">
        <v>365</v>
      </c>
      <c r="AW15" s="109" t="s">
        <v>365</v>
      </c>
      <c r="AX15" s="109" t="s">
        <v>365</v>
      </c>
      <c r="AY15" s="124" t="s">
        <v>381</v>
      </c>
      <c r="AZ15" s="105" t="s">
        <v>365</v>
      </c>
      <c r="BA15" s="105" t="s">
        <v>365</v>
      </c>
      <c r="BB15" s="76"/>
      <c r="BC15" s="105" t="s">
        <v>365</v>
      </c>
      <c r="BD15" s="105" t="s">
        <v>365</v>
      </c>
      <c r="BE15" s="105" t="s">
        <v>365</v>
      </c>
      <c r="BF15" s="124" t="s">
        <v>381</v>
      </c>
      <c r="BG15" s="105" t="s">
        <v>365</v>
      </c>
      <c r="BH15" s="105" t="s">
        <v>365</v>
      </c>
      <c r="BI15" s="124" t="s">
        <v>381</v>
      </c>
      <c r="BJ15" s="76"/>
      <c r="BK15" s="124" t="s">
        <v>381</v>
      </c>
      <c r="BL15" s="109" t="s">
        <v>365</v>
      </c>
      <c r="BM15" s="109" t="s">
        <v>365</v>
      </c>
      <c r="BN15" s="109" t="s">
        <v>365</v>
      </c>
      <c r="BO15" s="124" t="s">
        <v>381</v>
      </c>
      <c r="BP15" s="105" t="s">
        <v>365</v>
      </c>
      <c r="BQ15" s="105" t="s">
        <v>365</v>
      </c>
      <c r="BR15" s="76"/>
      <c r="BS15" s="105" t="s">
        <v>365</v>
      </c>
      <c r="BT15" s="125" t="s">
        <v>365</v>
      </c>
    </row>
    <row r="16">
      <c r="A16" s="102" t="s">
        <v>379</v>
      </c>
      <c r="B16" s="126" t="s">
        <v>383</v>
      </c>
      <c r="C16" s="107"/>
      <c r="D16" s="107"/>
      <c r="E16" s="107"/>
      <c r="F16" s="76"/>
      <c r="G16" s="107"/>
      <c r="H16" s="107"/>
      <c r="I16" s="107"/>
      <c r="J16" s="107"/>
      <c r="K16" s="107"/>
      <c r="L16" s="107"/>
      <c r="M16" s="107"/>
      <c r="N16" s="76"/>
      <c r="O16" s="107"/>
      <c r="P16" s="107"/>
      <c r="Q16" s="107"/>
      <c r="R16" s="107"/>
      <c r="S16" s="107"/>
      <c r="T16" s="107"/>
      <c r="U16" s="107"/>
      <c r="V16" s="76"/>
      <c r="W16" s="124" t="s">
        <v>381</v>
      </c>
      <c r="X16" s="109" t="s">
        <v>365</v>
      </c>
      <c r="Y16" s="109" t="s">
        <v>365</v>
      </c>
      <c r="Z16" s="109" t="s">
        <v>365</v>
      </c>
      <c r="AA16" s="124" t="s">
        <v>381</v>
      </c>
      <c r="AB16" s="105" t="s">
        <v>365</v>
      </c>
      <c r="AC16" s="105" t="s">
        <v>365</v>
      </c>
      <c r="AD16" s="76"/>
      <c r="AE16" s="105" t="s">
        <v>365</v>
      </c>
      <c r="AF16" s="105" t="s">
        <v>365</v>
      </c>
      <c r="AG16" s="105" t="s">
        <v>365</v>
      </c>
      <c r="AH16" s="124" t="s">
        <v>381</v>
      </c>
      <c r="AI16" s="105" t="s">
        <v>365</v>
      </c>
      <c r="AJ16" s="105" t="s">
        <v>365</v>
      </c>
      <c r="AK16" s="124" t="s">
        <v>381</v>
      </c>
      <c r="AL16" s="76"/>
      <c r="AM16" s="124" t="s">
        <v>381</v>
      </c>
      <c r="AN16" s="109" t="s">
        <v>365</v>
      </c>
      <c r="AO16" s="109" t="s">
        <v>365</v>
      </c>
      <c r="AP16" s="109" t="s">
        <v>365</v>
      </c>
      <c r="AQ16" s="124" t="s">
        <v>381</v>
      </c>
      <c r="AR16" s="105" t="s">
        <v>365</v>
      </c>
      <c r="AS16" s="105" t="s">
        <v>365</v>
      </c>
      <c r="AT16" s="76"/>
      <c r="AU16" s="105" t="s">
        <v>365</v>
      </c>
      <c r="AV16" s="105" t="s">
        <v>365</v>
      </c>
      <c r="AW16" s="105" t="s">
        <v>365</v>
      </c>
      <c r="AX16" s="124" t="s">
        <v>381</v>
      </c>
      <c r="AY16" s="105" t="s">
        <v>365</v>
      </c>
      <c r="AZ16" s="105" t="s">
        <v>365</v>
      </c>
      <c r="BA16" s="124" t="s">
        <v>381</v>
      </c>
      <c r="BB16" s="76"/>
      <c r="BC16" s="124" t="s">
        <v>381</v>
      </c>
      <c r="BD16" s="109" t="s">
        <v>365</v>
      </c>
      <c r="BE16" s="109" t="s">
        <v>365</v>
      </c>
      <c r="BF16" s="109" t="s">
        <v>365</v>
      </c>
      <c r="BG16" s="124" t="s">
        <v>381</v>
      </c>
      <c r="BH16" s="105" t="s">
        <v>365</v>
      </c>
      <c r="BI16" s="105" t="s">
        <v>365</v>
      </c>
      <c r="BJ16" s="76"/>
      <c r="BK16" s="105" t="s">
        <v>365</v>
      </c>
      <c r="BL16" s="105" t="s">
        <v>365</v>
      </c>
      <c r="BM16" s="105" t="s">
        <v>365</v>
      </c>
      <c r="BN16" s="124" t="s">
        <v>381</v>
      </c>
      <c r="BO16" s="105" t="s">
        <v>365</v>
      </c>
      <c r="BP16" s="105" t="s">
        <v>365</v>
      </c>
      <c r="BQ16" s="124" t="s">
        <v>381</v>
      </c>
      <c r="BR16" s="76"/>
      <c r="BS16" s="124" t="s">
        <v>381</v>
      </c>
      <c r="BT16" s="127" t="s">
        <v>365</v>
      </c>
    </row>
  </sheetData>
  <mergeCells count="1">
    <mergeCell ref="B1:B2"/>
  </mergeCells>
  <dataValidations>
    <dataValidation type="list" allowBlank="1" showErrorMessage="1" sqref="AL2 AL9">
      <formula1>"horas extras,Compensado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4" max="4" width="13.88"/>
    <col hidden="1" min="5" max="21" width="12.63"/>
  </cols>
  <sheetData>
    <row r="1">
      <c r="A1" s="128"/>
      <c r="B1" s="129" t="s">
        <v>384</v>
      </c>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88"/>
      <c r="AJ1" s="130"/>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1"/>
      <c r="BZ1" s="131"/>
      <c r="CA1" s="131"/>
      <c r="CB1" s="131"/>
      <c r="CC1" s="131"/>
      <c r="CD1" s="131"/>
      <c r="CE1" s="131"/>
      <c r="CF1" s="131"/>
      <c r="CG1" s="131"/>
      <c r="CH1" s="131"/>
      <c r="CI1" s="131"/>
    </row>
    <row r="2">
      <c r="A2" s="132"/>
      <c r="B2" s="133" t="s">
        <v>177</v>
      </c>
      <c r="C2" s="133" t="s">
        <v>2</v>
      </c>
      <c r="D2" s="133" t="s">
        <v>385</v>
      </c>
      <c r="E2" s="133" t="s">
        <v>386</v>
      </c>
      <c r="F2" s="133" t="s">
        <v>387</v>
      </c>
      <c r="G2" s="133" t="s">
        <v>388</v>
      </c>
      <c r="H2" s="133" t="s">
        <v>389</v>
      </c>
      <c r="I2" s="133" t="s">
        <v>390</v>
      </c>
      <c r="J2" s="133" t="s">
        <v>391</v>
      </c>
      <c r="K2" s="133" t="s">
        <v>392</v>
      </c>
      <c r="L2" s="133" t="s">
        <v>393</v>
      </c>
      <c r="M2" s="133" t="s">
        <v>394</v>
      </c>
      <c r="N2" s="133" t="s">
        <v>395</v>
      </c>
      <c r="O2" s="133" t="s">
        <v>396</v>
      </c>
      <c r="P2" s="133" t="s">
        <v>397</v>
      </c>
      <c r="Q2" s="133" t="s">
        <v>398</v>
      </c>
      <c r="R2" s="133" t="s">
        <v>399</v>
      </c>
      <c r="S2" s="133" t="s">
        <v>400</v>
      </c>
      <c r="T2" s="133" t="s">
        <v>401</v>
      </c>
      <c r="U2" s="133" t="s">
        <v>402</v>
      </c>
      <c r="V2" s="133" t="s">
        <v>403</v>
      </c>
      <c r="W2" s="133" t="s">
        <v>404</v>
      </c>
      <c r="X2" s="133" t="s">
        <v>405</v>
      </c>
      <c r="Y2" s="133" t="s">
        <v>406</v>
      </c>
      <c r="Z2" s="133" t="s">
        <v>407</v>
      </c>
      <c r="AA2" s="133" t="s">
        <v>408</v>
      </c>
      <c r="AB2" s="133" t="s">
        <v>409</v>
      </c>
      <c r="AC2" s="133" t="s">
        <v>410</v>
      </c>
      <c r="AD2" s="133" t="s">
        <v>411</v>
      </c>
    </row>
    <row r="3">
      <c r="A3" s="12" t="s">
        <v>182</v>
      </c>
      <c r="B3" s="91" t="s">
        <v>180</v>
      </c>
      <c r="C3" s="91" t="s">
        <v>181</v>
      </c>
      <c r="D3" s="134">
        <v>14.0</v>
      </c>
      <c r="E3" s="135"/>
      <c r="F3" s="136" t="s">
        <v>412</v>
      </c>
      <c r="G3" s="135"/>
      <c r="H3" s="135"/>
      <c r="I3" s="136" t="s">
        <v>412</v>
      </c>
      <c r="J3" s="135"/>
      <c r="K3" s="136" t="s">
        <v>412</v>
      </c>
      <c r="L3" s="136" t="s">
        <v>412</v>
      </c>
      <c r="M3" s="135"/>
      <c r="N3" s="135"/>
      <c r="O3" s="136" t="s">
        <v>412</v>
      </c>
      <c r="P3" s="135"/>
      <c r="Q3" s="136" t="s">
        <v>412</v>
      </c>
      <c r="R3" s="136" t="s">
        <v>412</v>
      </c>
      <c r="S3" s="135"/>
      <c r="T3" s="136" t="s">
        <v>412</v>
      </c>
      <c r="U3" s="136" t="s">
        <v>412</v>
      </c>
      <c r="V3" s="136" t="s">
        <v>412</v>
      </c>
      <c r="W3" s="135"/>
      <c r="X3" s="136" t="s">
        <v>412</v>
      </c>
      <c r="Y3" s="136" t="s">
        <v>412</v>
      </c>
      <c r="Z3" s="135"/>
      <c r="AA3" s="135"/>
      <c r="AB3" s="135"/>
      <c r="AC3" s="136" t="s">
        <v>412</v>
      </c>
      <c r="AD3" s="136" t="s">
        <v>412</v>
      </c>
    </row>
    <row r="4">
      <c r="A4" s="12" t="s">
        <v>182</v>
      </c>
      <c r="B4" s="91" t="s">
        <v>180</v>
      </c>
      <c r="C4" s="91" t="s">
        <v>183</v>
      </c>
      <c r="D4" s="134">
        <v>11.0</v>
      </c>
      <c r="E4" s="135"/>
      <c r="F4" s="136" t="s">
        <v>412</v>
      </c>
      <c r="G4" s="135"/>
      <c r="H4" s="135"/>
      <c r="I4" s="135"/>
      <c r="J4" s="136" t="s">
        <v>412</v>
      </c>
      <c r="K4" s="136" t="s">
        <v>412</v>
      </c>
      <c r="L4" s="135"/>
      <c r="M4" s="136" t="s">
        <v>412</v>
      </c>
      <c r="N4" s="135"/>
      <c r="O4" s="135"/>
      <c r="P4" s="136" t="s">
        <v>412</v>
      </c>
      <c r="Q4" s="136" t="s">
        <v>412</v>
      </c>
      <c r="R4" s="135"/>
      <c r="S4" s="135"/>
      <c r="T4" s="135"/>
      <c r="U4" s="136" t="s">
        <v>412</v>
      </c>
      <c r="V4" s="135"/>
      <c r="W4" s="135"/>
      <c r="X4" s="136" t="s">
        <v>412</v>
      </c>
      <c r="Y4" s="136" t="s">
        <v>412</v>
      </c>
      <c r="Z4" s="136" t="s">
        <v>412</v>
      </c>
      <c r="AA4" s="135"/>
      <c r="AB4" s="136" t="s">
        <v>412</v>
      </c>
      <c r="AC4" s="135"/>
      <c r="AD4" s="135"/>
    </row>
    <row r="5">
      <c r="A5" s="12" t="s">
        <v>182</v>
      </c>
      <c r="B5" s="91" t="s">
        <v>180</v>
      </c>
      <c r="C5" s="91" t="s">
        <v>184</v>
      </c>
      <c r="D5" s="134">
        <v>10.0</v>
      </c>
      <c r="E5" s="135"/>
      <c r="F5" s="135"/>
      <c r="G5" s="135"/>
      <c r="H5" s="136" t="s">
        <v>412</v>
      </c>
      <c r="I5" s="136" t="s">
        <v>412</v>
      </c>
      <c r="J5" s="135"/>
      <c r="K5" s="135"/>
      <c r="L5" s="136" t="s">
        <v>412</v>
      </c>
      <c r="M5" s="135"/>
      <c r="N5" s="135"/>
      <c r="O5" s="135"/>
      <c r="P5" s="135"/>
      <c r="Q5" s="135"/>
      <c r="R5" s="136" t="s">
        <v>412</v>
      </c>
      <c r="S5" s="136" t="s">
        <v>412</v>
      </c>
      <c r="T5" s="135"/>
      <c r="U5" s="135"/>
      <c r="V5" s="135"/>
      <c r="W5" s="136" t="s">
        <v>412</v>
      </c>
      <c r="X5" s="135"/>
      <c r="Y5" s="136" t="s">
        <v>412</v>
      </c>
      <c r="Z5" s="136" t="s">
        <v>412</v>
      </c>
      <c r="AA5" s="135"/>
      <c r="AB5" s="136" t="s">
        <v>412</v>
      </c>
      <c r="AC5" s="135"/>
      <c r="AD5" s="136" t="s">
        <v>412</v>
      </c>
    </row>
    <row r="6">
      <c r="A6" s="12" t="s">
        <v>182</v>
      </c>
      <c r="B6" s="91" t="s">
        <v>180</v>
      </c>
      <c r="C6" s="91" t="s">
        <v>185</v>
      </c>
      <c r="D6" s="134">
        <v>10.0</v>
      </c>
      <c r="E6" s="135"/>
      <c r="F6" s="136" t="s">
        <v>412</v>
      </c>
      <c r="G6" s="136" t="s">
        <v>412</v>
      </c>
      <c r="H6" s="136" t="s">
        <v>412</v>
      </c>
      <c r="I6" s="135"/>
      <c r="J6" s="136" t="s">
        <v>412</v>
      </c>
      <c r="K6" s="135"/>
      <c r="L6" s="135"/>
      <c r="M6" s="136" t="s">
        <v>412</v>
      </c>
      <c r="N6" s="135"/>
      <c r="O6" s="135"/>
      <c r="P6" s="135"/>
      <c r="Q6" s="135"/>
      <c r="R6" s="136" t="s">
        <v>412</v>
      </c>
      <c r="S6" s="136" t="s">
        <v>412</v>
      </c>
      <c r="T6" s="135"/>
      <c r="U6" s="135"/>
      <c r="V6" s="135"/>
      <c r="W6" s="136" t="s">
        <v>412</v>
      </c>
      <c r="X6" s="136" t="s">
        <v>412</v>
      </c>
      <c r="Y6" s="135"/>
      <c r="Z6" s="136" t="s">
        <v>412</v>
      </c>
      <c r="AA6" s="135"/>
      <c r="AB6" s="135"/>
      <c r="AC6" s="135"/>
      <c r="AD6" s="135"/>
    </row>
    <row r="7">
      <c r="A7" s="12" t="s">
        <v>182</v>
      </c>
      <c r="B7" s="91" t="s">
        <v>180</v>
      </c>
      <c r="C7" s="91" t="s">
        <v>66</v>
      </c>
      <c r="D7" s="134">
        <v>7.0</v>
      </c>
      <c r="E7" s="135"/>
      <c r="F7" s="136" t="s">
        <v>412</v>
      </c>
      <c r="G7" s="135"/>
      <c r="H7" s="136" t="s">
        <v>412</v>
      </c>
      <c r="I7" s="135"/>
      <c r="J7" s="135"/>
      <c r="K7" s="135"/>
      <c r="L7" s="135"/>
      <c r="M7" s="135"/>
      <c r="N7" s="135"/>
      <c r="O7" s="135"/>
      <c r="P7" s="135"/>
      <c r="Q7" s="135"/>
      <c r="R7" s="135"/>
      <c r="S7" s="135"/>
      <c r="T7" s="136" t="s">
        <v>412</v>
      </c>
      <c r="U7" s="135"/>
      <c r="V7" s="136" t="s">
        <v>412</v>
      </c>
      <c r="W7" s="135"/>
      <c r="X7" s="135"/>
      <c r="Y7" s="136" t="s">
        <v>412</v>
      </c>
      <c r="Z7" s="135"/>
      <c r="AA7" s="136" t="s">
        <v>412</v>
      </c>
      <c r="AB7" s="135"/>
      <c r="AC7" s="136" t="s">
        <v>412</v>
      </c>
      <c r="AD7" s="135"/>
    </row>
    <row r="8">
      <c r="A8" s="12" t="s">
        <v>182</v>
      </c>
      <c r="B8" s="91" t="s">
        <v>180</v>
      </c>
      <c r="C8" s="91" t="s">
        <v>187</v>
      </c>
      <c r="D8" s="134">
        <v>6.0</v>
      </c>
      <c r="E8" s="135"/>
      <c r="F8" s="135"/>
      <c r="G8" s="135"/>
      <c r="H8" s="135"/>
      <c r="I8" s="135"/>
      <c r="J8" s="135"/>
      <c r="K8" s="135"/>
      <c r="L8" s="135"/>
      <c r="M8" s="135"/>
      <c r="N8" s="136" t="s">
        <v>412</v>
      </c>
      <c r="O8" s="136" t="s">
        <v>412</v>
      </c>
      <c r="P8" s="135"/>
      <c r="Q8" s="135"/>
      <c r="R8" s="136" t="s">
        <v>412</v>
      </c>
      <c r="S8" s="135"/>
      <c r="T8" s="135"/>
      <c r="U8" s="135"/>
      <c r="V8" s="135"/>
      <c r="W8" s="135"/>
      <c r="X8" s="135"/>
      <c r="Y8" s="136" t="s">
        <v>412</v>
      </c>
      <c r="Z8" s="136" t="s">
        <v>412</v>
      </c>
      <c r="AA8" s="136" t="s">
        <v>412</v>
      </c>
      <c r="AB8" s="135"/>
      <c r="AC8" s="135"/>
      <c r="AD8" s="135"/>
    </row>
    <row r="9">
      <c r="A9" s="12" t="s">
        <v>182</v>
      </c>
      <c r="B9" s="91" t="s">
        <v>180</v>
      </c>
      <c r="C9" s="91" t="s">
        <v>188</v>
      </c>
      <c r="D9" s="134">
        <v>5.0</v>
      </c>
      <c r="E9" s="135"/>
      <c r="F9" s="135"/>
      <c r="G9" s="136" t="s">
        <v>412</v>
      </c>
      <c r="H9" s="135"/>
      <c r="I9" s="136" t="s">
        <v>412</v>
      </c>
      <c r="J9" s="136" t="s">
        <v>412</v>
      </c>
      <c r="K9" s="135"/>
      <c r="L9" s="135"/>
      <c r="M9" s="135"/>
      <c r="N9" s="136" t="s">
        <v>412</v>
      </c>
      <c r="O9" s="135"/>
      <c r="P9" s="136" t="s">
        <v>412</v>
      </c>
      <c r="Q9" s="135"/>
      <c r="R9" s="135"/>
      <c r="S9" s="135"/>
      <c r="T9" s="135"/>
      <c r="U9" s="135"/>
      <c r="V9" s="135"/>
      <c r="W9" s="135"/>
      <c r="X9" s="135"/>
      <c r="Y9" s="135"/>
      <c r="Z9" s="135"/>
      <c r="AA9" s="135"/>
      <c r="AB9" s="135"/>
      <c r="AC9" s="135"/>
      <c r="AD9" s="135"/>
    </row>
    <row r="10">
      <c r="A10" s="12" t="s">
        <v>136</v>
      </c>
      <c r="B10" s="91" t="s">
        <v>180</v>
      </c>
      <c r="C10" s="91" t="s">
        <v>189</v>
      </c>
      <c r="D10" s="134">
        <v>2.0</v>
      </c>
      <c r="E10" s="135"/>
      <c r="F10" s="135"/>
      <c r="G10" s="136" t="s">
        <v>412</v>
      </c>
      <c r="H10" s="135"/>
      <c r="I10" s="135"/>
      <c r="J10" s="135"/>
      <c r="K10" s="135"/>
      <c r="L10" s="135"/>
      <c r="M10" s="135"/>
      <c r="N10" s="135"/>
      <c r="O10" s="135"/>
      <c r="P10" s="135"/>
      <c r="Q10" s="135"/>
      <c r="R10" s="135"/>
      <c r="S10" s="135"/>
      <c r="T10" s="135"/>
      <c r="U10" s="135"/>
      <c r="V10" s="135"/>
      <c r="W10" s="135"/>
      <c r="X10" s="136" t="s">
        <v>412</v>
      </c>
      <c r="Y10" s="135"/>
      <c r="Z10" s="135"/>
      <c r="AA10" s="135"/>
      <c r="AB10" s="135"/>
      <c r="AC10" s="135"/>
      <c r="AD10" s="135"/>
    </row>
    <row r="11">
      <c r="A11" s="12" t="s">
        <v>182</v>
      </c>
      <c r="B11" s="137" t="s">
        <v>413</v>
      </c>
      <c r="C11" s="91" t="s">
        <v>190</v>
      </c>
      <c r="D11" s="134">
        <v>0.0</v>
      </c>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row>
    <row r="12">
      <c r="A12" s="12" t="s">
        <v>136</v>
      </c>
      <c r="B12" s="137" t="s">
        <v>413</v>
      </c>
      <c r="C12" s="91" t="s">
        <v>191</v>
      </c>
      <c r="D12" s="134">
        <v>0.0</v>
      </c>
      <c r="E12" s="135"/>
      <c r="F12" s="135"/>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row>
    <row r="13">
      <c r="A13" s="12" t="s">
        <v>182</v>
      </c>
      <c r="B13" s="91" t="s">
        <v>192</v>
      </c>
      <c r="C13" s="91" t="s">
        <v>193</v>
      </c>
      <c r="D13" s="134">
        <v>15.0</v>
      </c>
      <c r="E13" s="135"/>
      <c r="F13" s="136" t="s">
        <v>412</v>
      </c>
      <c r="G13" s="136" t="s">
        <v>412</v>
      </c>
      <c r="H13" s="136" t="s">
        <v>412</v>
      </c>
      <c r="I13" s="136" t="s">
        <v>412</v>
      </c>
      <c r="J13" s="136" t="s">
        <v>412</v>
      </c>
      <c r="K13" s="136" t="s">
        <v>412</v>
      </c>
      <c r="L13" s="136" t="s">
        <v>412</v>
      </c>
      <c r="M13" s="136" t="s">
        <v>412</v>
      </c>
      <c r="N13" s="135"/>
      <c r="O13" s="135"/>
      <c r="P13" s="135"/>
      <c r="Q13" s="135"/>
      <c r="R13" s="136" t="s">
        <v>412</v>
      </c>
      <c r="S13" s="136" t="s">
        <v>412</v>
      </c>
      <c r="T13" s="135"/>
      <c r="U13" s="136" t="s">
        <v>412</v>
      </c>
      <c r="V13" s="135"/>
      <c r="W13" s="136" t="s">
        <v>412</v>
      </c>
      <c r="X13" s="135"/>
      <c r="Y13" s="136" t="s">
        <v>412</v>
      </c>
      <c r="Z13" s="135"/>
      <c r="AA13" s="136" t="s">
        <v>412</v>
      </c>
      <c r="AB13" s="135"/>
      <c r="AC13" s="136" t="s">
        <v>412</v>
      </c>
      <c r="AD13" s="135"/>
    </row>
    <row r="14">
      <c r="A14" s="12" t="s">
        <v>182</v>
      </c>
      <c r="B14" s="91" t="s">
        <v>192</v>
      </c>
      <c r="C14" s="91" t="s">
        <v>194</v>
      </c>
      <c r="D14" s="134">
        <v>15.0</v>
      </c>
      <c r="E14" s="135"/>
      <c r="F14" s="135"/>
      <c r="G14" s="135"/>
      <c r="H14" s="135"/>
      <c r="I14" s="135"/>
      <c r="J14" s="135"/>
      <c r="K14" s="136" t="s">
        <v>412</v>
      </c>
      <c r="L14" s="136" t="s">
        <v>412</v>
      </c>
      <c r="M14" s="136" t="s">
        <v>412</v>
      </c>
      <c r="N14" s="136" t="s">
        <v>412</v>
      </c>
      <c r="O14" s="136" t="s">
        <v>412</v>
      </c>
      <c r="P14" s="136" t="s">
        <v>412</v>
      </c>
      <c r="Q14" s="136" t="s">
        <v>412</v>
      </c>
      <c r="R14" s="136" t="s">
        <v>412</v>
      </c>
      <c r="S14" s="135"/>
      <c r="T14" s="136" t="s">
        <v>412</v>
      </c>
      <c r="U14" s="136" t="s">
        <v>412</v>
      </c>
      <c r="V14" s="136" t="s">
        <v>412</v>
      </c>
      <c r="W14" s="135"/>
      <c r="X14" s="136" t="s">
        <v>412</v>
      </c>
      <c r="Y14" s="135"/>
      <c r="Z14" s="136" t="s">
        <v>412</v>
      </c>
      <c r="AA14" s="135"/>
      <c r="AB14" s="136" t="s">
        <v>412</v>
      </c>
      <c r="AC14" s="135"/>
      <c r="AD14" s="136" t="s">
        <v>412</v>
      </c>
    </row>
    <row r="15">
      <c r="A15" s="12" t="s">
        <v>182</v>
      </c>
      <c r="B15" s="91" t="s">
        <v>192</v>
      </c>
      <c r="C15" s="91" t="s">
        <v>195</v>
      </c>
      <c r="D15" s="134">
        <v>15.0</v>
      </c>
      <c r="E15" s="135"/>
      <c r="F15" s="136" t="s">
        <v>412</v>
      </c>
      <c r="G15" s="136" t="s">
        <v>412</v>
      </c>
      <c r="H15" s="136" t="s">
        <v>412</v>
      </c>
      <c r="I15" s="136" t="s">
        <v>412</v>
      </c>
      <c r="J15" s="136" t="s">
        <v>412</v>
      </c>
      <c r="K15" s="136" t="s">
        <v>412</v>
      </c>
      <c r="L15" s="136" t="s">
        <v>412</v>
      </c>
      <c r="M15" s="135"/>
      <c r="N15" s="136" t="s">
        <v>412</v>
      </c>
      <c r="O15" s="136" t="s">
        <v>412</v>
      </c>
      <c r="P15" s="135"/>
      <c r="Q15" s="136" t="s">
        <v>412</v>
      </c>
      <c r="R15" s="135"/>
      <c r="S15" s="135"/>
      <c r="T15" s="136" t="s">
        <v>412</v>
      </c>
      <c r="U15" s="136" t="s">
        <v>412</v>
      </c>
      <c r="V15" s="135"/>
      <c r="W15" s="136" t="s">
        <v>412</v>
      </c>
      <c r="X15" s="135"/>
      <c r="Y15" s="135"/>
      <c r="Z15" s="136" t="s">
        <v>412</v>
      </c>
      <c r="AA15" s="135"/>
      <c r="AB15" s="135"/>
      <c r="AC15" s="135"/>
      <c r="AD15" s="136" t="s">
        <v>412</v>
      </c>
    </row>
    <row r="16">
      <c r="A16" s="12" t="s">
        <v>182</v>
      </c>
      <c r="B16" s="91" t="s">
        <v>192</v>
      </c>
      <c r="C16" s="91" t="s">
        <v>196</v>
      </c>
      <c r="D16" s="134">
        <v>13.0</v>
      </c>
      <c r="E16" s="135"/>
      <c r="F16" s="136" t="s">
        <v>412</v>
      </c>
      <c r="G16" s="136" t="s">
        <v>412</v>
      </c>
      <c r="H16" s="136" t="s">
        <v>412</v>
      </c>
      <c r="I16" s="136" t="s">
        <v>412</v>
      </c>
      <c r="J16" s="136" t="s">
        <v>412</v>
      </c>
      <c r="K16" s="135"/>
      <c r="L16" s="136" t="s">
        <v>412</v>
      </c>
      <c r="M16" s="135"/>
      <c r="N16" s="135"/>
      <c r="O16" s="136" t="s">
        <v>412</v>
      </c>
      <c r="P16" s="136" t="s">
        <v>412</v>
      </c>
      <c r="Q16" s="135"/>
      <c r="R16" s="135"/>
      <c r="S16" s="135"/>
      <c r="T16" s="135"/>
      <c r="U16" s="135"/>
      <c r="V16" s="135"/>
      <c r="W16" s="135"/>
      <c r="X16" s="136" t="s">
        <v>412</v>
      </c>
      <c r="Y16" s="136" t="s">
        <v>412</v>
      </c>
      <c r="Z16" s="135"/>
      <c r="AA16" s="136" t="s">
        <v>412</v>
      </c>
      <c r="AB16" s="136" t="s">
        <v>412</v>
      </c>
      <c r="AC16" s="136" t="s">
        <v>412</v>
      </c>
      <c r="AD16" s="135"/>
    </row>
    <row r="17">
      <c r="A17" s="12" t="s">
        <v>182</v>
      </c>
      <c r="B17" s="91" t="s">
        <v>192</v>
      </c>
      <c r="C17" s="91" t="s">
        <v>197</v>
      </c>
      <c r="D17" s="134">
        <v>8.0</v>
      </c>
      <c r="E17" s="135"/>
      <c r="F17" s="135"/>
      <c r="G17" s="135"/>
      <c r="H17" s="135"/>
      <c r="I17" s="135"/>
      <c r="J17" s="136" t="s">
        <v>412</v>
      </c>
      <c r="K17" s="136" t="s">
        <v>412</v>
      </c>
      <c r="L17" s="135"/>
      <c r="M17" s="136" t="s">
        <v>412</v>
      </c>
      <c r="N17" s="135"/>
      <c r="O17" s="135"/>
      <c r="P17" s="135"/>
      <c r="Q17" s="135"/>
      <c r="R17" s="135"/>
      <c r="S17" s="136" t="s">
        <v>412</v>
      </c>
      <c r="T17" s="135"/>
      <c r="U17" s="135"/>
      <c r="V17" s="135"/>
      <c r="W17" s="136" t="s">
        <v>412</v>
      </c>
      <c r="X17" s="136" t="s">
        <v>412</v>
      </c>
      <c r="Y17" s="136" t="s">
        <v>412</v>
      </c>
      <c r="Z17" s="136" t="s">
        <v>412</v>
      </c>
      <c r="AA17" s="135"/>
      <c r="AB17" s="135"/>
      <c r="AC17" s="135"/>
      <c r="AD17" s="135"/>
    </row>
    <row r="18">
      <c r="A18" s="12" t="s">
        <v>136</v>
      </c>
      <c r="B18" s="91" t="s">
        <v>192</v>
      </c>
      <c r="C18" s="91" t="s">
        <v>198</v>
      </c>
      <c r="D18" s="134">
        <v>0.0</v>
      </c>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row>
    <row r="19">
      <c r="A19" s="12" t="s">
        <v>182</v>
      </c>
      <c r="B19" s="137" t="s">
        <v>192</v>
      </c>
      <c r="C19" s="137" t="s">
        <v>199</v>
      </c>
      <c r="D19" s="134"/>
      <c r="E19" s="135"/>
      <c r="F19" s="136"/>
      <c r="G19" s="136"/>
      <c r="H19" s="135"/>
      <c r="I19" s="136"/>
      <c r="J19" s="136"/>
      <c r="K19" s="136"/>
      <c r="L19" s="135"/>
      <c r="M19" s="136"/>
      <c r="N19" s="135"/>
      <c r="O19" s="135"/>
      <c r="P19" s="136"/>
      <c r="Q19" s="135"/>
      <c r="R19" s="136"/>
      <c r="S19" s="136"/>
      <c r="T19" s="136"/>
      <c r="U19" s="135"/>
      <c r="V19" s="136"/>
      <c r="W19" s="135"/>
      <c r="X19" s="135"/>
      <c r="Y19" s="135"/>
      <c r="Z19" s="136"/>
      <c r="AA19" s="135"/>
      <c r="AB19" s="135"/>
      <c r="AC19" s="135"/>
      <c r="AD19" s="136"/>
    </row>
    <row r="20">
      <c r="A20" s="12" t="s">
        <v>182</v>
      </c>
      <c r="B20" s="91" t="s">
        <v>200</v>
      </c>
      <c r="C20" s="91" t="s">
        <v>201</v>
      </c>
      <c r="D20" s="134">
        <v>13.0</v>
      </c>
      <c r="E20" s="135"/>
      <c r="F20" s="136" t="s">
        <v>412</v>
      </c>
      <c r="G20" s="136" t="s">
        <v>412</v>
      </c>
      <c r="H20" s="135"/>
      <c r="I20" s="136" t="s">
        <v>412</v>
      </c>
      <c r="J20" s="136" t="s">
        <v>412</v>
      </c>
      <c r="K20" s="136" t="s">
        <v>412</v>
      </c>
      <c r="L20" s="135"/>
      <c r="M20" s="136" t="s">
        <v>412</v>
      </c>
      <c r="N20" s="135"/>
      <c r="O20" s="135"/>
      <c r="P20" s="136" t="s">
        <v>412</v>
      </c>
      <c r="Q20" s="135"/>
      <c r="R20" s="136" t="s">
        <v>412</v>
      </c>
      <c r="S20" s="136" t="s">
        <v>412</v>
      </c>
      <c r="T20" s="136" t="s">
        <v>412</v>
      </c>
      <c r="U20" s="135"/>
      <c r="V20" s="136" t="s">
        <v>412</v>
      </c>
      <c r="W20" s="135"/>
      <c r="X20" s="135"/>
      <c r="Y20" s="135"/>
      <c r="Z20" s="136" t="s">
        <v>412</v>
      </c>
      <c r="AA20" s="135"/>
      <c r="AB20" s="135"/>
      <c r="AC20" s="135"/>
      <c r="AD20" s="136" t="s">
        <v>412</v>
      </c>
    </row>
    <row r="21">
      <c r="A21" s="12" t="s">
        <v>182</v>
      </c>
      <c r="B21" s="91" t="s">
        <v>200</v>
      </c>
      <c r="C21" s="91" t="s">
        <v>202</v>
      </c>
      <c r="D21" s="134">
        <v>13.0</v>
      </c>
      <c r="E21" s="135"/>
      <c r="F21" s="136" t="s">
        <v>412</v>
      </c>
      <c r="G21" s="136" t="s">
        <v>412</v>
      </c>
      <c r="H21" s="135"/>
      <c r="I21" s="136" t="s">
        <v>412</v>
      </c>
      <c r="J21" s="136" t="s">
        <v>412</v>
      </c>
      <c r="K21" s="136" t="s">
        <v>412</v>
      </c>
      <c r="L21" s="136" t="s">
        <v>412</v>
      </c>
      <c r="M21" s="135"/>
      <c r="N21" s="135"/>
      <c r="O21" s="135"/>
      <c r="P21" s="136" t="s">
        <v>412</v>
      </c>
      <c r="Q21" s="135"/>
      <c r="R21" s="136" t="s">
        <v>412</v>
      </c>
      <c r="S21" s="135"/>
      <c r="T21" s="136" t="s">
        <v>412</v>
      </c>
      <c r="U21" s="135"/>
      <c r="V21" s="135"/>
      <c r="W21" s="136" t="s">
        <v>412</v>
      </c>
      <c r="X21" s="135"/>
      <c r="Y21" s="136" t="s">
        <v>412</v>
      </c>
      <c r="Z21" s="135"/>
      <c r="AA21" s="136" t="s">
        <v>412</v>
      </c>
      <c r="AB21" s="135"/>
      <c r="AC21" s="135"/>
      <c r="AD21" s="136" t="s">
        <v>412</v>
      </c>
    </row>
    <row r="22">
      <c r="A22" s="12" t="s">
        <v>182</v>
      </c>
      <c r="B22" s="91" t="s">
        <v>200</v>
      </c>
      <c r="C22" s="91" t="s">
        <v>203</v>
      </c>
      <c r="D22" s="134">
        <v>12.0</v>
      </c>
      <c r="E22" s="135"/>
      <c r="F22" s="136" t="s">
        <v>412</v>
      </c>
      <c r="G22" s="136" t="s">
        <v>412</v>
      </c>
      <c r="H22" s="136" t="s">
        <v>412</v>
      </c>
      <c r="I22" s="135"/>
      <c r="J22" s="135"/>
      <c r="K22" s="135"/>
      <c r="L22" s="135"/>
      <c r="M22" s="136" t="s">
        <v>412</v>
      </c>
      <c r="N22" s="136" t="s">
        <v>412</v>
      </c>
      <c r="O22" s="136" t="s">
        <v>412</v>
      </c>
      <c r="P22" s="136" t="s">
        <v>412</v>
      </c>
      <c r="Q22" s="136" t="s">
        <v>412</v>
      </c>
      <c r="R22" s="135"/>
      <c r="S22" s="135"/>
      <c r="T22" s="135"/>
      <c r="U22" s="136" t="s">
        <v>412</v>
      </c>
      <c r="V22" s="135"/>
      <c r="W22" s="136" t="s">
        <v>412</v>
      </c>
      <c r="X22" s="135"/>
      <c r="Y22" s="136" t="s">
        <v>412</v>
      </c>
      <c r="Z22" s="135"/>
      <c r="AA22" s="135"/>
      <c r="AB22" s="135"/>
      <c r="AC22" s="136" t="s">
        <v>412</v>
      </c>
      <c r="AD22" s="135"/>
    </row>
    <row r="23">
      <c r="A23" s="12" t="s">
        <v>182</v>
      </c>
      <c r="B23" s="91" t="s">
        <v>200</v>
      </c>
      <c r="C23" s="91" t="s">
        <v>204</v>
      </c>
      <c r="D23" s="134">
        <v>12.0</v>
      </c>
      <c r="E23" s="135"/>
      <c r="F23" s="136" t="s">
        <v>412</v>
      </c>
      <c r="G23" s="136" t="s">
        <v>412</v>
      </c>
      <c r="H23" s="136" t="s">
        <v>412</v>
      </c>
      <c r="I23" s="136" t="s">
        <v>412</v>
      </c>
      <c r="J23" s="136" t="s">
        <v>412</v>
      </c>
      <c r="K23" s="135"/>
      <c r="L23" s="135"/>
      <c r="M23" s="135"/>
      <c r="N23" s="136" t="s">
        <v>412</v>
      </c>
      <c r="O23" s="136" t="s">
        <v>412</v>
      </c>
      <c r="P23" s="135"/>
      <c r="Q23" s="135"/>
      <c r="R23" s="135"/>
      <c r="S23" s="136" t="s">
        <v>412</v>
      </c>
      <c r="T23" s="136" t="s">
        <v>412</v>
      </c>
      <c r="U23" s="135"/>
      <c r="V23" s="136" t="s">
        <v>412</v>
      </c>
      <c r="W23" s="135"/>
      <c r="X23" s="136" t="s">
        <v>412</v>
      </c>
      <c r="Y23" s="135"/>
      <c r="Z23" s="135"/>
      <c r="AA23" s="135"/>
      <c r="AB23" s="135"/>
      <c r="AC23" s="136" t="s">
        <v>412</v>
      </c>
      <c r="AD23" s="135"/>
    </row>
    <row r="24">
      <c r="A24" s="12" t="s">
        <v>182</v>
      </c>
      <c r="B24" s="91" t="s">
        <v>200</v>
      </c>
      <c r="C24" s="91" t="s">
        <v>205</v>
      </c>
      <c r="D24" s="134">
        <v>12.0</v>
      </c>
      <c r="E24" s="135"/>
      <c r="F24" s="136" t="s">
        <v>412</v>
      </c>
      <c r="G24" s="136" t="s">
        <v>412</v>
      </c>
      <c r="H24" s="136" t="s">
        <v>412</v>
      </c>
      <c r="I24" s="136" t="s">
        <v>412</v>
      </c>
      <c r="J24" s="135"/>
      <c r="K24" s="136" t="s">
        <v>412</v>
      </c>
      <c r="L24" s="135"/>
      <c r="M24" s="136" t="s">
        <v>412</v>
      </c>
      <c r="N24" s="136" t="s">
        <v>412</v>
      </c>
      <c r="O24" s="135"/>
      <c r="P24" s="135"/>
      <c r="Q24" s="135"/>
      <c r="R24" s="136" t="s">
        <v>412</v>
      </c>
      <c r="S24" s="135"/>
      <c r="T24" s="136" t="s">
        <v>412</v>
      </c>
      <c r="U24" s="136" t="s">
        <v>412</v>
      </c>
      <c r="V24" s="135"/>
      <c r="W24" s="136" t="s">
        <v>412</v>
      </c>
      <c r="X24" s="135"/>
      <c r="Y24" s="135"/>
      <c r="Z24" s="135"/>
      <c r="AA24" s="135"/>
      <c r="AB24" s="136" t="s">
        <v>412</v>
      </c>
      <c r="AC24" s="135"/>
      <c r="AD24" s="135"/>
    </row>
    <row r="25">
      <c r="A25" s="12" t="s">
        <v>207</v>
      </c>
      <c r="B25" s="91" t="s">
        <v>200</v>
      </c>
      <c r="C25" s="137" t="s">
        <v>206</v>
      </c>
      <c r="D25" s="134"/>
      <c r="E25" s="135"/>
      <c r="F25" s="135"/>
      <c r="G25" s="136"/>
      <c r="H25" s="136"/>
      <c r="I25" s="136"/>
      <c r="J25" s="135"/>
      <c r="K25" s="135"/>
      <c r="L25" s="136"/>
      <c r="M25" s="136"/>
      <c r="N25" s="135"/>
      <c r="O25" s="135"/>
      <c r="P25" s="135"/>
      <c r="Q25" s="136"/>
      <c r="R25" s="136"/>
      <c r="S25" s="135"/>
      <c r="T25" s="135"/>
      <c r="U25" s="136"/>
      <c r="V25" s="135"/>
      <c r="W25" s="135"/>
      <c r="X25" s="136"/>
      <c r="Y25" s="135"/>
      <c r="Z25" s="135"/>
      <c r="AA25" s="136"/>
      <c r="AB25" s="135"/>
      <c r="AC25" s="135"/>
      <c r="AD25" s="135"/>
    </row>
    <row r="26">
      <c r="A26" s="12" t="s">
        <v>182</v>
      </c>
      <c r="B26" s="91" t="s">
        <v>200</v>
      </c>
      <c r="C26" s="137" t="s">
        <v>208</v>
      </c>
      <c r="D26" s="134"/>
      <c r="E26" s="135"/>
      <c r="F26" s="135"/>
      <c r="G26" s="136"/>
      <c r="H26" s="136"/>
      <c r="I26" s="136"/>
      <c r="J26" s="135"/>
      <c r="K26" s="135"/>
      <c r="L26" s="136"/>
      <c r="M26" s="136"/>
      <c r="N26" s="135"/>
      <c r="O26" s="135"/>
      <c r="P26" s="135"/>
      <c r="Q26" s="136"/>
      <c r="R26" s="136"/>
      <c r="S26" s="135"/>
      <c r="T26" s="135"/>
      <c r="U26" s="136"/>
      <c r="V26" s="135"/>
      <c r="W26" s="135"/>
      <c r="X26" s="136"/>
      <c r="Y26" s="135"/>
      <c r="Z26" s="135"/>
      <c r="AA26" s="136"/>
      <c r="AB26" s="135"/>
      <c r="AC26" s="135"/>
      <c r="AD26" s="135"/>
    </row>
    <row r="27">
      <c r="A27" s="12" t="s">
        <v>182</v>
      </c>
      <c r="B27" s="91" t="s">
        <v>200</v>
      </c>
      <c r="C27" s="137" t="s">
        <v>209</v>
      </c>
      <c r="D27" s="134"/>
      <c r="E27" s="135"/>
      <c r="F27" s="135"/>
      <c r="G27" s="136"/>
      <c r="H27" s="136"/>
      <c r="I27" s="136"/>
      <c r="J27" s="135"/>
      <c r="K27" s="135"/>
      <c r="L27" s="136"/>
      <c r="M27" s="136"/>
      <c r="N27" s="135"/>
      <c r="O27" s="135"/>
      <c r="P27" s="135"/>
      <c r="Q27" s="136"/>
      <c r="R27" s="136"/>
      <c r="S27" s="135"/>
      <c r="T27" s="135"/>
      <c r="U27" s="136"/>
      <c r="V27" s="135"/>
      <c r="W27" s="135"/>
      <c r="X27" s="136"/>
      <c r="Y27" s="135"/>
      <c r="Z27" s="135"/>
      <c r="AA27" s="136"/>
      <c r="AB27" s="135"/>
      <c r="AC27" s="135"/>
      <c r="AD27" s="135"/>
    </row>
    <row r="28">
      <c r="A28" s="12" t="s">
        <v>182</v>
      </c>
      <c r="B28" s="91" t="s">
        <v>200</v>
      </c>
      <c r="C28" s="91" t="s">
        <v>210</v>
      </c>
      <c r="D28" s="134">
        <v>10.0</v>
      </c>
      <c r="E28" s="135"/>
      <c r="F28" s="135"/>
      <c r="G28" s="136" t="s">
        <v>412</v>
      </c>
      <c r="H28" s="136" t="s">
        <v>412</v>
      </c>
      <c r="I28" s="136" t="s">
        <v>412</v>
      </c>
      <c r="J28" s="135"/>
      <c r="K28" s="135"/>
      <c r="L28" s="136" t="s">
        <v>412</v>
      </c>
      <c r="M28" s="136" t="s">
        <v>412</v>
      </c>
      <c r="N28" s="135"/>
      <c r="O28" s="135"/>
      <c r="P28" s="135"/>
      <c r="Q28" s="136" t="s">
        <v>412</v>
      </c>
      <c r="R28" s="136" t="s">
        <v>412</v>
      </c>
      <c r="S28" s="135"/>
      <c r="T28" s="135"/>
      <c r="U28" s="136" t="s">
        <v>412</v>
      </c>
      <c r="V28" s="135"/>
      <c r="W28" s="135"/>
      <c r="X28" s="136" t="s">
        <v>412</v>
      </c>
      <c r="Y28" s="135"/>
      <c r="Z28" s="135"/>
      <c r="AA28" s="136" t="s">
        <v>412</v>
      </c>
      <c r="AB28" s="135"/>
      <c r="AC28" s="135"/>
      <c r="AD28" s="135"/>
    </row>
    <row r="29">
      <c r="A29" s="12" t="s">
        <v>182</v>
      </c>
      <c r="B29" s="91" t="s">
        <v>200</v>
      </c>
      <c r="C29" s="91" t="s">
        <v>211</v>
      </c>
      <c r="D29" s="134">
        <v>10.0</v>
      </c>
      <c r="E29" s="135"/>
      <c r="F29" s="136" t="s">
        <v>412</v>
      </c>
      <c r="G29" s="136" t="s">
        <v>412</v>
      </c>
      <c r="H29" s="136" t="s">
        <v>412</v>
      </c>
      <c r="I29" s="136" t="s">
        <v>412</v>
      </c>
      <c r="J29" s="135"/>
      <c r="K29" s="135"/>
      <c r="L29" s="136" t="s">
        <v>412</v>
      </c>
      <c r="M29" s="135"/>
      <c r="N29" s="135"/>
      <c r="O29" s="136" t="s">
        <v>412</v>
      </c>
      <c r="P29" s="135"/>
      <c r="Q29" s="136" t="s">
        <v>412</v>
      </c>
      <c r="R29" s="135"/>
      <c r="S29" s="135"/>
      <c r="T29" s="136" t="s">
        <v>412</v>
      </c>
      <c r="U29" s="135"/>
      <c r="V29" s="135"/>
      <c r="W29" s="136" t="s">
        <v>412</v>
      </c>
      <c r="X29" s="135"/>
      <c r="Y29" s="135"/>
      <c r="Z29" s="136" t="s">
        <v>412</v>
      </c>
      <c r="AA29" s="135"/>
      <c r="AB29" s="135"/>
      <c r="AC29" s="135"/>
      <c r="AD29" s="135"/>
    </row>
    <row r="30">
      <c r="A30" s="12" t="s">
        <v>182</v>
      </c>
      <c r="B30" s="91" t="s">
        <v>200</v>
      </c>
      <c r="C30" s="91" t="s">
        <v>212</v>
      </c>
      <c r="D30" s="134">
        <v>10.0</v>
      </c>
      <c r="E30" s="135"/>
      <c r="F30" s="136" t="s">
        <v>412</v>
      </c>
      <c r="G30" s="135"/>
      <c r="H30" s="136" t="s">
        <v>412</v>
      </c>
      <c r="I30" s="136" t="s">
        <v>412</v>
      </c>
      <c r="J30" s="136" t="s">
        <v>412</v>
      </c>
      <c r="K30" s="135"/>
      <c r="L30" s="136" t="s">
        <v>412</v>
      </c>
      <c r="M30" s="136" t="s">
        <v>412</v>
      </c>
      <c r="N30" s="135"/>
      <c r="O30" s="135"/>
      <c r="P30" s="135"/>
      <c r="Q30" s="135"/>
      <c r="R30" s="135"/>
      <c r="S30" s="136" t="s">
        <v>412</v>
      </c>
      <c r="T30" s="135"/>
      <c r="U30" s="135"/>
      <c r="V30" s="135"/>
      <c r="W30" s="135"/>
      <c r="X30" s="136" t="s">
        <v>412</v>
      </c>
      <c r="Y30" s="135"/>
      <c r="Z30" s="135"/>
      <c r="AA30" s="136" t="s">
        <v>412</v>
      </c>
      <c r="AB30" s="136" t="s">
        <v>412</v>
      </c>
      <c r="AC30" s="135"/>
      <c r="AD30" s="135"/>
    </row>
    <row r="31">
      <c r="A31" s="12" t="s">
        <v>182</v>
      </c>
      <c r="B31" s="91" t="s">
        <v>200</v>
      </c>
      <c r="C31" s="91" t="s">
        <v>213</v>
      </c>
      <c r="D31" s="134">
        <v>10.0</v>
      </c>
      <c r="E31" s="135"/>
      <c r="F31" s="136" t="s">
        <v>412</v>
      </c>
      <c r="G31" s="135"/>
      <c r="H31" s="135"/>
      <c r="I31" s="135"/>
      <c r="J31" s="136" t="s">
        <v>412</v>
      </c>
      <c r="K31" s="136" t="s">
        <v>412</v>
      </c>
      <c r="L31" s="135"/>
      <c r="M31" s="136" t="s">
        <v>412</v>
      </c>
      <c r="N31" s="136" t="s">
        <v>412</v>
      </c>
      <c r="O31" s="135"/>
      <c r="P31" s="135"/>
      <c r="Q31" s="135"/>
      <c r="R31" s="136" t="s">
        <v>412</v>
      </c>
      <c r="S31" s="136" t="s">
        <v>412</v>
      </c>
      <c r="T31" s="136" t="s">
        <v>412</v>
      </c>
      <c r="U31" s="135"/>
      <c r="V31" s="135"/>
      <c r="W31" s="136" t="s">
        <v>412</v>
      </c>
      <c r="X31" s="135"/>
      <c r="Y31" s="136" t="s">
        <v>412</v>
      </c>
      <c r="Z31" s="135"/>
      <c r="AA31" s="135"/>
      <c r="AB31" s="135"/>
      <c r="AC31" s="135"/>
      <c r="AD31" s="135"/>
    </row>
    <row r="32">
      <c r="A32" s="12" t="s">
        <v>182</v>
      </c>
      <c r="B32" s="91" t="s">
        <v>200</v>
      </c>
      <c r="C32" s="91" t="s">
        <v>214</v>
      </c>
      <c r="D32" s="134">
        <v>10.0</v>
      </c>
      <c r="E32" s="135"/>
      <c r="F32" s="135"/>
      <c r="G32" s="135"/>
      <c r="H32" s="135"/>
      <c r="I32" s="136" t="s">
        <v>412</v>
      </c>
      <c r="J32" s="135"/>
      <c r="K32" s="136" t="s">
        <v>412</v>
      </c>
      <c r="L32" s="135"/>
      <c r="M32" s="136" t="s">
        <v>412</v>
      </c>
      <c r="N32" s="136" t="s">
        <v>412</v>
      </c>
      <c r="O32" s="136" t="s">
        <v>412</v>
      </c>
      <c r="P32" s="136" t="s">
        <v>412</v>
      </c>
      <c r="Q32" s="135"/>
      <c r="R32" s="135"/>
      <c r="S32" s="135"/>
      <c r="T32" s="135"/>
      <c r="U32" s="136" t="s">
        <v>412</v>
      </c>
      <c r="V32" s="136" t="s">
        <v>412</v>
      </c>
      <c r="W32" s="135"/>
      <c r="X32" s="135"/>
      <c r="Y32" s="135"/>
      <c r="Z32" s="135"/>
      <c r="AA32" s="136" t="s">
        <v>412</v>
      </c>
      <c r="AB32" s="136" t="s">
        <v>412</v>
      </c>
      <c r="AC32" s="135"/>
      <c r="AD32" s="135"/>
    </row>
    <row r="33">
      <c r="A33" s="12" t="s">
        <v>182</v>
      </c>
      <c r="B33" s="91" t="s">
        <v>200</v>
      </c>
      <c r="C33" s="91" t="s">
        <v>215</v>
      </c>
      <c r="D33" s="134">
        <v>8.0</v>
      </c>
      <c r="E33" s="135"/>
      <c r="F33" s="136" t="s">
        <v>412</v>
      </c>
      <c r="G33" s="135"/>
      <c r="H33" s="136" t="s">
        <v>412</v>
      </c>
      <c r="I33" s="135"/>
      <c r="J33" s="135"/>
      <c r="K33" s="135"/>
      <c r="L33" s="136" t="s">
        <v>412</v>
      </c>
      <c r="M33" s="135"/>
      <c r="N33" s="135"/>
      <c r="O33" s="135"/>
      <c r="P33" s="136" t="s">
        <v>412</v>
      </c>
      <c r="Q33" s="136" t="s">
        <v>412</v>
      </c>
      <c r="R33" s="135"/>
      <c r="S33" s="135"/>
      <c r="T33" s="135"/>
      <c r="U33" s="135"/>
      <c r="V33" s="136" t="s">
        <v>412</v>
      </c>
      <c r="W33" s="135"/>
      <c r="X33" s="135"/>
      <c r="Y33" s="135"/>
      <c r="Z33" s="135"/>
      <c r="AA33" s="136" t="s">
        <v>412</v>
      </c>
      <c r="AB33" s="136" t="s">
        <v>412</v>
      </c>
      <c r="AC33" s="135"/>
      <c r="AD33" s="135"/>
    </row>
    <row r="34">
      <c r="A34" s="12" t="s">
        <v>182</v>
      </c>
      <c r="B34" s="138" t="s">
        <v>200</v>
      </c>
      <c r="C34" s="138" t="s">
        <v>216</v>
      </c>
      <c r="D34" s="134">
        <v>3.0</v>
      </c>
      <c r="E34" s="135"/>
      <c r="F34" s="136" t="s">
        <v>412</v>
      </c>
      <c r="G34" s="136" t="s">
        <v>412</v>
      </c>
      <c r="H34" s="135"/>
      <c r="I34" s="136" t="s">
        <v>412</v>
      </c>
      <c r="J34" s="135"/>
      <c r="K34" s="135"/>
      <c r="L34" s="135"/>
      <c r="M34" s="135"/>
      <c r="N34" s="135"/>
      <c r="O34" s="135"/>
      <c r="P34" s="135"/>
      <c r="Q34" s="135"/>
      <c r="R34" s="135"/>
      <c r="S34" s="135"/>
      <c r="T34" s="135"/>
      <c r="U34" s="135"/>
      <c r="V34" s="135"/>
      <c r="W34" s="135"/>
      <c r="X34" s="135"/>
      <c r="Y34" s="135"/>
      <c r="Z34" s="135"/>
      <c r="AA34" s="135"/>
      <c r="AB34" s="135"/>
      <c r="AC34" s="135"/>
      <c r="AD34" s="135"/>
    </row>
    <row r="35">
      <c r="A35" s="12" t="s">
        <v>182</v>
      </c>
      <c r="B35" s="139" t="s">
        <v>217</v>
      </c>
      <c r="C35" s="139" t="s">
        <v>218</v>
      </c>
      <c r="D35" s="140">
        <v>11.0</v>
      </c>
      <c r="E35" s="135"/>
      <c r="F35" s="136" t="s">
        <v>412</v>
      </c>
      <c r="G35" s="136" t="s">
        <v>412</v>
      </c>
      <c r="H35" s="136" t="s">
        <v>412</v>
      </c>
      <c r="I35" s="136" t="s">
        <v>412</v>
      </c>
      <c r="J35" s="136" t="s">
        <v>412</v>
      </c>
      <c r="K35" s="136" t="s">
        <v>412</v>
      </c>
      <c r="L35" s="136" t="s">
        <v>412</v>
      </c>
      <c r="M35" s="136" t="s">
        <v>412</v>
      </c>
      <c r="N35" s="136" t="s">
        <v>412</v>
      </c>
      <c r="O35" s="135"/>
      <c r="P35" s="136" t="s">
        <v>412</v>
      </c>
      <c r="Q35" s="136" t="s">
        <v>412</v>
      </c>
      <c r="R35" s="135"/>
      <c r="S35" s="135"/>
      <c r="T35" s="135"/>
      <c r="U35" s="135"/>
      <c r="V35" s="135"/>
      <c r="W35" s="135"/>
      <c r="X35" s="135"/>
      <c r="Y35" s="135"/>
      <c r="Z35" s="135"/>
      <c r="AA35" s="135"/>
      <c r="AB35" s="135"/>
      <c r="AC35" s="135"/>
      <c r="AD35" s="135"/>
    </row>
    <row r="36">
      <c r="A36" s="12" t="s">
        <v>182</v>
      </c>
      <c r="B36" s="139" t="s">
        <v>217</v>
      </c>
      <c r="C36" s="139" t="s">
        <v>219</v>
      </c>
      <c r="D36" s="140">
        <v>11.0</v>
      </c>
      <c r="E36" s="135"/>
      <c r="F36" s="136" t="s">
        <v>412</v>
      </c>
      <c r="G36" s="136" t="s">
        <v>412</v>
      </c>
      <c r="H36" s="136" t="s">
        <v>412</v>
      </c>
      <c r="I36" s="136" t="s">
        <v>412</v>
      </c>
      <c r="J36" s="136" t="s">
        <v>412</v>
      </c>
      <c r="K36" s="136" t="s">
        <v>412</v>
      </c>
      <c r="L36" s="136" t="s">
        <v>412</v>
      </c>
      <c r="M36" s="136" t="s">
        <v>412</v>
      </c>
      <c r="N36" s="136" t="s">
        <v>412</v>
      </c>
      <c r="O36" s="136" t="s">
        <v>412</v>
      </c>
      <c r="P36" s="135"/>
      <c r="Q36" s="136" t="s">
        <v>412</v>
      </c>
      <c r="R36" s="135"/>
      <c r="S36" s="135"/>
      <c r="T36" s="135"/>
      <c r="U36" s="135"/>
      <c r="V36" s="135"/>
      <c r="W36" s="135"/>
      <c r="X36" s="135"/>
      <c r="Y36" s="135"/>
      <c r="Z36" s="135"/>
      <c r="AA36" s="135"/>
      <c r="AB36" s="135"/>
      <c r="AC36" s="135"/>
      <c r="AD36" s="135"/>
    </row>
    <row r="37">
      <c r="A37" s="12" t="s">
        <v>182</v>
      </c>
      <c r="B37" s="139" t="s">
        <v>217</v>
      </c>
      <c r="C37" s="139" t="s">
        <v>220</v>
      </c>
      <c r="D37" s="140">
        <v>10.0</v>
      </c>
      <c r="E37" s="135"/>
      <c r="F37" s="135"/>
      <c r="G37" s="136" t="s">
        <v>412</v>
      </c>
      <c r="H37" s="136" t="s">
        <v>412</v>
      </c>
      <c r="I37" s="136" t="s">
        <v>412</v>
      </c>
      <c r="J37" s="136" t="s">
        <v>412</v>
      </c>
      <c r="K37" s="136" t="s">
        <v>412</v>
      </c>
      <c r="L37" s="136" t="s">
        <v>412</v>
      </c>
      <c r="M37" s="136" t="s">
        <v>412</v>
      </c>
      <c r="N37" s="136" t="s">
        <v>412</v>
      </c>
      <c r="O37" s="136" t="s">
        <v>412</v>
      </c>
      <c r="P37" s="136" t="s">
        <v>412</v>
      </c>
      <c r="Q37" s="135"/>
      <c r="R37" s="135"/>
      <c r="S37" s="135"/>
      <c r="T37" s="135"/>
      <c r="U37" s="135"/>
      <c r="V37" s="135"/>
      <c r="W37" s="135"/>
      <c r="X37" s="135"/>
      <c r="Y37" s="135"/>
      <c r="Z37" s="135"/>
      <c r="AA37" s="135"/>
      <c r="AB37" s="135"/>
      <c r="AC37" s="135"/>
      <c r="AD37" s="135"/>
    </row>
    <row r="38">
      <c r="A38" s="12" t="s">
        <v>182</v>
      </c>
      <c r="B38" s="139" t="s">
        <v>217</v>
      </c>
      <c r="C38" s="139" t="s">
        <v>221</v>
      </c>
      <c r="D38" s="140">
        <v>7.0</v>
      </c>
      <c r="E38" s="135"/>
      <c r="F38" s="135"/>
      <c r="G38" s="135"/>
      <c r="H38" s="135"/>
      <c r="I38" s="135"/>
      <c r="J38" s="136" t="s">
        <v>412</v>
      </c>
      <c r="K38" s="136" t="s">
        <v>412</v>
      </c>
      <c r="L38" s="136" t="s">
        <v>412</v>
      </c>
      <c r="M38" s="136" t="s">
        <v>412</v>
      </c>
      <c r="N38" s="136" t="s">
        <v>412</v>
      </c>
      <c r="O38" s="135"/>
      <c r="P38" s="136" t="s">
        <v>412</v>
      </c>
      <c r="Q38" s="136" t="s">
        <v>412</v>
      </c>
      <c r="R38" s="135"/>
      <c r="S38" s="135"/>
      <c r="T38" s="135"/>
      <c r="U38" s="135"/>
      <c r="V38" s="135"/>
      <c r="W38" s="135"/>
      <c r="X38" s="135"/>
      <c r="Y38" s="135"/>
      <c r="Z38" s="135"/>
      <c r="AA38" s="135"/>
      <c r="AB38" s="135"/>
      <c r="AC38" s="135"/>
      <c r="AD38" s="135"/>
    </row>
    <row r="39">
      <c r="A39" s="12" t="s">
        <v>182</v>
      </c>
      <c r="B39" s="139" t="s">
        <v>217</v>
      </c>
      <c r="C39" s="139" t="s">
        <v>222</v>
      </c>
      <c r="D39" s="140">
        <v>5.0</v>
      </c>
      <c r="E39" s="135"/>
      <c r="F39" s="136" t="s">
        <v>412</v>
      </c>
      <c r="G39" s="136" t="s">
        <v>412</v>
      </c>
      <c r="H39" s="136" t="s">
        <v>412</v>
      </c>
      <c r="I39" s="136" t="s">
        <v>412</v>
      </c>
      <c r="J39" s="135"/>
      <c r="K39" s="135"/>
      <c r="L39" s="135"/>
      <c r="M39" s="135"/>
      <c r="N39" s="135"/>
      <c r="O39" s="136" t="s">
        <v>412</v>
      </c>
      <c r="P39" s="135"/>
      <c r="Q39" s="135"/>
      <c r="R39" s="135"/>
      <c r="S39" s="135"/>
      <c r="T39" s="135"/>
      <c r="U39" s="135"/>
      <c r="V39" s="135"/>
      <c r="W39" s="135"/>
      <c r="X39" s="135"/>
      <c r="Y39" s="135"/>
      <c r="Z39" s="135"/>
      <c r="AA39" s="135"/>
      <c r="AB39" s="135"/>
      <c r="AC39" s="135"/>
      <c r="AD39" s="135"/>
    </row>
    <row r="40">
      <c r="A40" s="12" t="s">
        <v>224</v>
      </c>
      <c r="B40" s="139" t="s">
        <v>217</v>
      </c>
      <c r="C40" s="139" t="s">
        <v>223</v>
      </c>
      <c r="D40" s="140">
        <v>0.0</v>
      </c>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row>
    <row r="41">
      <c r="A41" s="12" t="s">
        <v>224</v>
      </c>
      <c r="B41" s="139" t="s">
        <v>217</v>
      </c>
      <c r="C41" s="139" t="s">
        <v>225</v>
      </c>
      <c r="D41" s="140">
        <v>0.0</v>
      </c>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row>
    <row r="42">
      <c r="A42" s="12" t="s">
        <v>414</v>
      </c>
      <c r="B42" s="139" t="s">
        <v>217</v>
      </c>
      <c r="C42" s="141" t="s">
        <v>226</v>
      </c>
      <c r="D42" s="140">
        <v>0.0</v>
      </c>
      <c r="E42" s="135"/>
      <c r="F42" s="136"/>
      <c r="G42" s="136"/>
      <c r="H42" s="136"/>
      <c r="I42" s="136"/>
      <c r="J42" s="136"/>
      <c r="K42" s="136"/>
      <c r="L42" s="135"/>
      <c r="M42" s="135"/>
      <c r="N42" s="136"/>
      <c r="O42" s="135"/>
      <c r="P42" s="135"/>
      <c r="Q42" s="136"/>
      <c r="R42" s="136"/>
      <c r="S42" s="135"/>
      <c r="T42" s="135"/>
      <c r="U42" s="136"/>
      <c r="V42" s="135"/>
      <c r="W42" s="135"/>
      <c r="X42" s="136"/>
      <c r="Y42" s="135"/>
      <c r="Z42" s="136"/>
      <c r="AA42" s="135"/>
      <c r="AB42" s="135"/>
      <c r="AC42" s="136"/>
      <c r="AD42" s="135"/>
    </row>
    <row r="43">
      <c r="A43" s="12" t="s">
        <v>182</v>
      </c>
      <c r="B43" s="142" t="s">
        <v>227</v>
      </c>
      <c r="C43" s="142" t="s">
        <v>228</v>
      </c>
      <c r="D43" s="134">
        <v>13.0</v>
      </c>
      <c r="E43" s="135"/>
      <c r="F43" s="136" t="s">
        <v>412</v>
      </c>
      <c r="G43" s="136" t="s">
        <v>412</v>
      </c>
      <c r="H43" s="136" t="s">
        <v>412</v>
      </c>
      <c r="I43" s="136" t="s">
        <v>412</v>
      </c>
      <c r="J43" s="136" t="s">
        <v>412</v>
      </c>
      <c r="K43" s="136" t="s">
        <v>412</v>
      </c>
      <c r="L43" s="135"/>
      <c r="M43" s="135"/>
      <c r="N43" s="136" t="s">
        <v>412</v>
      </c>
      <c r="O43" s="135"/>
      <c r="P43" s="135"/>
      <c r="Q43" s="136" t="s">
        <v>412</v>
      </c>
      <c r="R43" s="136" t="s">
        <v>412</v>
      </c>
      <c r="S43" s="135"/>
      <c r="T43" s="135"/>
      <c r="U43" s="136" t="s">
        <v>412</v>
      </c>
      <c r="V43" s="135"/>
      <c r="W43" s="135"/>
      <c r="X43" s="136" t="s">
        <v>412</v>
      </c>
      <c r="Y43" s="135"/>
      <c r="Z43" s="136" t="s">
        <v>412</v>
      </c>
      <c r="AA43" s="135"/>
      <c r="AB43" s="135"/>
      <c r="AC43" s="136" t="s">
        <v>412</v>
      </c>
      <c r="AD43" s="135"/>
    </row>
    <row r="44">
      <c r="A44" s="12" t="s">
        <v>182</v>
      </c>
      <c r="B44" s="91" t="s">
        <v>227</v>
      </c>
      <c r="C44" s="91" t="s">
        <v>229</v>
      </c>
      <c r="D44" s="134">
        <v>12.0</v>
      </c>
      <c r="E44" s="135"/>
      <c r="F44" s="135"/>
      <c r="G44" s="136" t="s">
        <v>412</v>
      </c>
      <c r="H44" s="136" t="s">
        <v>412</v>
      </c>
      <c r="I44" s="136" t="s">
        <v>412</v>
      </c>
      <c r="J44" s="136" t="s">
        <v>412</v>
      </c>
      <c r="K44" s="135"/>
      <c r="L44" s="136" t="s">
        <v>412</v>
      </c>
      <c r="M44" s="135"/>
      <c r="N44" s="136" t="s">
        <v>412</v>
      </c>
      <c r="O44" s="135"/>
      <c r="P44" s="136" t="s">
        <v>412</v>
      </c>
      <c r="Q44" s="135"/>
      <c r="R44" s="136" t="s">
        <v>412</v>
      </c>
      <c r="S44" s="135"/>
      <c r="T44" s="135"/>
      <c r="U44" s="136" t="s">
        <v>412</v>
      </c>
      <c r="V44" s="135"/>
      <c r="W44" s="135"/>
      <c r="X44" s="136" t="s">
        <v>412</v>
      </c>
      <c r="Y44" s="135"/>
      <c r="Z44" s="136" t="s">
        <v>412</v>
      </c>
      <c r="AA44" s="135"/>
      <c r="AB44" s="135"/>
      <c r="AC44" s="136" t="s">
        <v>412</v>
      </c>
      <c r="AD44" s="135"/>
    </row>
    <row r="45">
      <c r="A45" s="12" t="s">
        <v>182</v>
      </c>
      <c r="B45" s="91" t="s">
        <v>227</v>
      </c>
      <c r="C45" s="91" t="s">
        <v>230</v>
      </c>
      <c r="D45" s="134">
        <v>12.0</v>
      </c>
      <c r="E45" s="135"/>
      <c r="F45" s="136" t="s">
        <v>412</v>
      </c>
      <c r="G45" s="135"/>
      <c r="H45" s="135"/>
      <c r="I45" s="136" t="s">
        <v>412</v>
      </c>
      <c r="J45" s="136" t="s">
        <v>412</v>
      </c>
      <c r="K45" s="136" t="s">
        <v>412</v>
      </c>
      <c r="L45" s="135"/>
      <c r="M45" s="135"/>
      <c r="N45" s="136" t="s">
        <v>412</v>
      </c>
      <c r="O45" s="135"/>
      <c r="P45" s="136" t="s">
        <v>412</v>
      </c>
      <c r="Q45" s="135"/>
      <c r="R45" s="136" t="s">
        <v>412</v>
      </c>
      <c r="S45" s="135"/>
      <c r="T45" s="136" t="s">
        <v>412</v>
      </c>
      <c r="U45" s="135"/>
      <c r="V45" s="136" t="s">
        <v>412</v>
      </c>
      <c r="W45" s="135"/>
      <c r="X45" s="135"/>
      <c r="Y45" s="136" t="s">
        <v>412</v>
      </c>
      <c r="Z45" s="135"/>
      <c r="AA45" s="135"/>
      <c r="AB45" s="136" t="s">
        <v>412</v>
      </c>
      <c r="AC45" s="135"/>
      <c r="AD45" s="136" t="s">
        <v>412</v>
      </c>
    </row>
    <row r="46">
      <c r="A46" s="12" t="s">
        <v>182</v>
      </c>
      <c r="B46" s="91" t="s">
        <v>227</v>
      </c>
      <c r="C46" s="91" t="s">
        <v>231</v>
      </c>
      <c r="D46" s="134">
        <v>12.0</v>
      </c>
      <c r="E46" s="135"/>
      <c r="F46" s="135"/>
      <c r="G46" s="136" t="s">
        <v>412</v>
      </c>
      <c r="H46" s="136" t="s">
        <v>412</v>
      </c>
      <c r="I46" s="136" t="s">
        <v>412</v>
      </c>
      <c r="J46" s="135"/>
      <c r="K46" s="135"/>
      <c r="L46" s="136" t="s">
        <v>412</v>
      </c>
      <c r="M46" s="135"/>
      <c r="N46" s="136" t="s">
        <v>412</v>
      </c>
      <c r="O46" s="135"/>
      <c r="P46" s="136" t="s">
        <v>412</v>
      </c>
      <c r="Q46" s="136" t="s">
        <v>412</v>
      </c>
      <c r="R46" s="135"/>
      <c r="S46" s="136" t="s">
        <v>412</v>
      </c>
      <c r="T46" s="135"/>
      <c r="U46" s="135"/>
      <c r="V46" s="136" t="s">
        <v>412</v>
      </c>
      <c r="W46" s="135"/>
      <c r="X46" s="136" t="s">
        <v>412</v>
      </c>
      <c r="Y46" s="136" t="s">
        <v>412</v>
      </c>
      <c r="Z46" s="135"/>
      <c r="AA46" s="136" t="s">
        <v>412</v>
      </c>
      <c r="AB46" s="135"/>
      <c r="AC46" s="135"/>
      <c r="AD46" s="135"/>
    </row>
    <row r="47">
      <c r="A47" s="12" t="s">
        <v>182</v>
      </c>
      <c r="B47" s="91" t="s">
        <v>227</v>
      </c>
      <c r="C47" s="91" t="s">
        <v>232</v>
      </c>
      <c r="D47" s="134">
        <v>12.0</v>
      </c>
      <c r="E47" s="135"/>
      <c r="F47" s="136" t="s">
        <v>412</v>
      </c>
      <c r="G47" s="135"/>
      <c r="H47" s="136" t="s">
        <v>412</v>
      </c>
      <c r="I47" s="136" t="s">
        <v>412</v>
      </c>
      <c r="J47" s="136" t="s">
        <v>412</v>
      </c>
      <c r="K47" s="136" t="s">
        <v>412</v>
      </c>
      <c r="L47" s="135"/>
      <c r="M47" s="136" t="s">
        <v>412</v>
      </c>
      <c r="N47" s="135"/>
      <c r="O47" s="136" t="s">
        <v>412</v>
      </c>
      <c r="P47" s="135"/>
      <c r="Q47" s="135"/>
      <c r="R47" s="135"/>
      <c r="S47" s="136" t="s">
        <v>412</v>
      </c>
      <c r="T47" s="135"/>
      <c r="U47" s="135"/>
      <c r="V47" s="136" t="s">
        <v>412</v>
      </c>
      <c r="W47" s="135"/>
      <c r="X47" s="135"/>
      <c r="Y47" s="136" t="s">
        <v>412</v>
      </c>
      <c r="Z47" s="135"/>
      <c r="AA47" s="136" t="s">
        <v>412</v>
      </c>
      <c r="AB47" s="135"/>
      <c r="AC47" s="135"/>
      <c r="AD47" s="136" t="s">
        <v>412</v>
      </c>
    </row>
    <row r="48">
      <c r="A48" s="12" t="s">
        <v>182</v>
      </c>
      <c r="B48" s="91" t="s">
        <v>227</v>
      </c>
      <c r="C48" s="91" t="s">
        <v>233</v>
      </c>
      <c r="D48" s="134">
        <v>11.0</v>
      </c>
      <c r="E48" s="135"/>
      <c r="F48" s="136" t="s">
        <v>412</v>
      </c>
      <c r="G48" s="136" t="s">
        <v>412</v>
      </c>
      <c r="H48" s="135"/>
      <c r="I48" s="135"/>
      <c r="J48" s="136" t="s">
        <v>412</v>
      </c>
      <c r="K48" s="136" t="s">
        <v>412</v>
      </c>
      <c r="L48" s="135"/>
      <c r="M48" s="136" t="s">
        <v>412</v>
      </c>
      <c r="N48" s="135"/>
      <c r="O48" s="135"/>
      <c r="P48" s="136" t="s">
        <v>412</v>
      </c>
      <c r="Q48" s="135"/>
      <c r="R48" s="135"/>
      <c r="S48" s="136" t="s">
        <v>412</v>
      </c>
      <c r="T48" s="135"/>
      <c r="U48" s="135"/>
      <c r="V48" s="135"/>
      <c r="W48" s="136" t="s">
        <v>412</v>
      </c>
      <c r="X48" s="135"/>
      <c r="Y48" s="136" t="s">
        <v>412</v>
      </c>
      <c r="Z48" s="135"/>
      <c r="AA48" s="136" t="s">
        <v>412</v>
      </c>
      <c r="AB48" s="135"/>
      <c r="AC48" s="135"/>
      <c r="AD48" s="136" t="s">
        <v>412</v>
      </c>
    </row>
    <row r="49">
      <c r="A49" s="12" t="s">
        <v>182</v>
      </c>
      <c r="B49" s="91" t="s">
        <v>227</v>
      </c>
      <c r="C49" s="91" t="s">
        <v>234</v>
      </c>
      <c r="D49" s="134">
        <v>11.0</v>
      </c>
      <c r="E49" s="135"/>
      <c r="F49" s="135"/>
      <c r="G49" s="136" t="s">
        <v>412</v>
      </c>
      <c r="H49" s="136" t="s">
        <v>412</v>
      </c>
      <c r="I49" s="136" t="s">
        <v>412</v>
      </c>
      <c r="J49" s="135"/>
      <c r="K49" s="136" t="s">
        <v>412</v>
      </c>
      <c r="L49" s="135"/>
      <c r="M49" s="135"/>
      <c r="N49" s="135"/>
      <c r="O49" s="136" t="s">
        <v>412</v>
      </c>
      <c r="P49" s="135"/>
      <c r="Q49" s="135"/>
      <c r="R49" s="136" t="s">
        <v>412</v>
      </c>
      <c r="S49" s="135"/>
      <c r="T49" s="135"/>
      <c r="U49" s="136" t="s">
        <v>412</v>
      </c>
      <c r="V49" s="135"/>
      <c r="W49" s="136" t="s">
        <v>412</v>
      </c>
      <c r="X49" s="135"/>
      <c r="Y49" s="136" t="s">
        <v>412</v>
      </c>
      <c r="Z49" s="135"/>
      <c r="AA49" s="135"/>
      <c r="AB49" s="136" t="s">
        <v>412</v>
      </c>
      <c r="AC49" s="135"/>
      <c r="AD49" s="136" t="s">
        <v>412</v>
      </c>
    </row>
    <row r="50">
      <c r="A50" s="12" t="s">
        <v>182</v>
      </c>
      <c r="B50" s="91" t="s">
        <v>227</v>
      </c>
      <c r="C50" s="91" t="s">
        <v>235</v>
      </c>
      <c r="D50" s="134">
        <v>11.0</v>
      </c>
      <c r="E50" s="135"/>
      <c r="F50" s="135"/>
      <c r="G50" s="136" t="s">
        <v>412</v>
      </c>
      <c r="H50" s="136" t="s">
        <v>412</v>
      </c>
      <c r="I50" s="136" t="s">
        <v>412</v>
      </c>
      <c r="J50" s="136" t="s">
        <v>412</v>
      </c>
      <c r="K50" s="135"/>
      <c r="L50" s="136" t="s">
        <v>412</v>
      </c>
      <c r="M50" s="135"/>
      <c r="N50" s="135"/>
      <c r="O50" s="136" t="s">
        <v>412</v>
      </c>
      <c r="P50" s="135"/>
      <c r="Q50" s="136" t="s">
        <v>412</v>
      </c>
      <c r="R50" s="135"/>
      <c r="S50" s="135"/>
      <c r="T50" s="135"/>
      <c r="U50" s="136" t="s">
        <v>412</v>
      </c>
      <c r="V50" s="135"/>
      <c r="W50" s="136" t="s">
        <v>412</v>
      </c>
      <c r="X50" s="135"/>
      <c r="Y50" s="136" t="s">
        <v>412</v>
      </c>
      <c r="Z50" s="135"/>
      <c r="AA50" s="135"/>
      <c r="AB50" s="135"/>
      <c r="AC50" s="136" t="s">
        <v>412</v>
      </c>
      <c r="AD50" s="135"/>
    </row>
    <row r="51">
      <c r="A51" s="12" t="s">
        <v>182</v>
      </c>
      <c r="B51" s="91" t="s">
        <v>227</v>
      </c>
      <c r="C51" s="91" t="s">
        <v>236</v>
      </c>
      <c r="D51" s="134">
        <v>10.0</v>
      </c>
      <c r="E51" s="135"/>
      <c r="F51" s="135"/>
      <c r="G51" s="136" t="s">
        <v>412</v>
      </c>
      <c r="H51" s="135"/>
      <c r="I51" s="135"/>
      <c r="J51" s="136" t="s">
        <v>412</v>
      </c>
      <c r="K51" s="136" t="s">
        <v>412</v>
      </c>
      <c r="L51" s="135"/>
      <c r="M51" s="136" t="s">
        <v>412</v>
      </c>
      <c r="N51" s="135"/>
      <c r="O51" s="136" t="s">
        <v>412</v>
      </c>
      <c r="P51" s="135"/>
      <c r="Q51" s="136" t="s">
        <v>412</v>
      </c>
      <c r="R51" s="135"/>
      <c r="S51" s="136" t="s">
        <v>412</v>
      </c>
      <c r="T51" s="135"/>
      <c r="U51" s="135"/>
      <c r="V51" s="136" t="s">
        <v>412</v>
      </c>
      <c r="W51" s="135"/>
      <c r="X51" s="136" t="s">
        <v>412</v>
      </c>
      <c r="Y51" s="135"/>
      <c r="Z51" s="136" t="s">
        <v>412</v>
      </c>
      <c r="AA51" s="135"/>
      <c r="AB51" s="135"/>
      <c r="AC51" s="135"/>
      <c r="AD51" s="135"/>
    </row>
    <row r="52">
      <c r="A52" s="12" t="s">
        <v>182</v>
      </c>
      <c r="B52" s="91" t="s">
        <v>227</v>
      </c>
      <c r="C52" s="91" t="s">
        <v>237</v>
      </c>
      <c r="D52" s="134">
        <v>10.0</v>
      </c>
      <c r="E52" s="135"/>
      <c r="F52" s="135"/>
      <c r="G52" s="136" t="s">
        <v>412</v>
      </c>
      <c r="H52" s="136" t="s">
        <v>412</v>
      </c>
      <c r="I52" s="135"/>
      <c r="J52" s="136" t="s">
        <v>412</v>
      </c>
      <c r="K52" s="136" t="s">
        <v>412</v>
      </c>
      <c r="L52" s="135"/>
      <c r="M52" s="135"/>
      <c r="N52" s="135"/>
      <c r="O52" s="136" t="s">
        <v>412</v>
      </c>
      <c r="P52" s="135"/>
      <c r="Q52" s="135"/>
      <c r="R52" s="136" t="s">
        <v>412</v>
      </c>
      <c r="S52" s="135"/>
      <c r="T52" s="135"/>
      <c r="U52" s="136" t="s">
        <v>412</v>
      </c>
      <c r="V52" s="135"/>
      <c r="W52" s="136" t="s">
        <v>412</v>
      </c>
      <c r="X52" s="135"/>
      <c r="Y52" s="135"/>
      <c r="Z52" s="136" t="s">
        <v>412</v>
      </c>
      <c r="AA52" s="135"/>
      <c r="AB52" s="135"/>
      <c r="AC52" s="136" t="s">
        <v>412</v>
      </c>
      <c r="AD52" s="135"/>
    </row>
    <row r="53">
      <c r="A53" s="12" t="s">
        <v>182</v>
      </c>
      <c r="B53" s="91" t="s">
        <v>227</v>
      </c>
      <c r="C53" s="91" t="s">
        <v>238</v>
      </c>
      <c r="D53" s="134">
        <v>10.0</v>
      </c>
      <c r="E53" s="135"/>
      <c r="F53" s="136" t="s">
        <v>412</v>
      </c>
      <c r="G53" s="136" t="s">
        <v>412</v>
      </c>
      <c r="H53" s="135"/>
      <c r="I53" s="135"/>
      <c r="J53" s="135"/>
      <c r="K53" s="136" t="s">
        <v>412</v>
      </c>
      <c r="L53" s="136" t="s">
        <v>412</v>
      </c>
      <c r="M53" s="135"/>
      <c r="N53" s="136" t="s">
        <v>412</v>
      </c>
      <c r="O53" s="135"/>
      <c r="P53" s="135"/>
      <c r="Q53" s="136" t="s">
        <v>412</v>
      </c>
      <c r="R53" s="135"/>
      <c r="S53" s="135"/>
      <c r="T53" s="136" t="s">
        <v>412</v>
      </c>
      <c r="U53" s="135"/>
      <c r="V53" s="136" t="s">
        <v>412</v>
      </c>
      <c r="W53" s="135"/>
      <c r="X53" s="135"/>
      <c r="Y53" s="136" t="s">
        <v>412</v>
      </c>
      <c r="Z53" s="135"/>
      <c r="AA53" s="135"/>
      <c r="AB53" s="136" t="s">
        <v>412</v>
      </c>
      <c r="AC53" s="135"/>
      <c r="AD53" s="135"/>
    </row>
    <row r="54">
      <c r="A54" s="12" t="s">
        <v>182</v>
      </c>
      <c r="B54" s="91" t="s">
        <v>227</v>
      </c>
      <c r="C54" s="91" t="s">
        <v>239</v>
      </c>
      <c r="D54" s="134">
        <v>3.0</v>
      </c>
      <c r="E54" s="135"/>
      <c r="F54" s="135"/>
      <c r="G54" s="135"/>
      <c r="H54" s="135"/>
      <c r="I54" s="135"/>
      <c r="J54" s="135"/>
      <c r="K54" s="135"/>
      <c r="L54" s="135"/>
      <c r="M54" s="136" t="s">
        <v>412</v>
      </c>
      <c r="N54" s="135"/>
      <c r="O54" s="135"/>
      <c r="P54" s="135"/>
      <c r="Q54" s="135"/>
      <c r="R54" s="135"/>
      <c r="S54" s="135"/>
      <c r="T54" s="136" t="s">
        <v>412</v>
      </c>
      <c r="U54" s="135"/>
      <c r="V54" s="135"/>
      <c r="W54" s="135"/>
      <c r="X54" s="135"/>
      <c r="Y54" s="135"/>
      <c r="Z54" s="135"/>
      <c r="AA54" s="136" t="s">
        <v>412</v>
      </c>
      <c r="AB54" s="135"/>
      <c r="AC54" s="135"/>
      <c r="AD54" s="135"/>
    </row>
    <row r="55">
      <c r="A55" s="139"/>
      <c r="B55" s="91" t="s">
        <v>240</v>
      </c>
      <c r="C55" s="91" t="s">
        <v>241</v>
      </c>
      <c r="D55" s="134">
        <v>17.0</v>
      </c>
      <c r="E55" s="135"/>
      <c r="F55" s="135"/>
      <c r="G55" s="136" t="s">
        <v>412</v>
      </c>
      <c r="H55" s="136" t="s">
        <v>412</v>
      </c>
      <c r="I55" s="136" t="s">
        <v>412</v>
      </c>
      <c r="J55" s="136" t="s">
        <v>412</v>
      </c>
      <c r="K55" s="136" t="s">
        <v>412</v>
      </c>
      <c r="L55" s="136" t="s">
        <v>412</v>
      </c>
      <c r="M55" s="136" t="s">
        <v>412</v>
      </c>
      <c r="N55" s="135"/>
      <c r="O55" s="136" t="s">
        <v>412</v>
      </c>
      <c r="P55" s="135"/>
      <c r="Q55" s="135"/>
      <c r="R55" s="135"/>
      <c r="S55" s="136" t="s">
        <v>412</v>
      </c>
      <c r="T55" s="136" t="s">
        <v>412</v>
      </c>
      <c r="U55" s="136" t="s">
        <v>412</v>
      </c>
      <c r="V55" s="136" t="s">
        <v>412</v>
      </c>
      <c r="W55" s="135"/>
      <c r="X55" s="136" t="s">
        <v>412</v>
      </c>
      <c r="Y55" s="135"/>
      <c r="Z55" s="136" t="s">
        <v>412</v>
      </c>
      <c r="AA55" s="136" t="s">
        <v>412</v>
      </c>
      <c r="AB55" s="135"/>
      <c r="AC55" s="136" t="s">
        <v>412</v>
      </c>
      <c r="AD55" s="136" t="s">
        <v>412</v>
      </c>
    </row>
    <row r="56">
      <c r="A56" s="139"/>
      <c r="B56" s="91" t="s">
        <v>240</v>
      </c>
      <c r="C56" s="91" t="s">
        <v>242</v>
      </c>
      <c r="D56" s="134">
        <v>16.0</v>
      </c>
      <c r="E56" s="135"/>
      <c r="F56" s="136" t="s">
        <v>412</v>
      </c>
      <c r="G56" s="135"/>
      <c r="H56" s="135"/>
      <c r="I56" s="135"/>
      <c r="J56" s="136" t="s">
        <v>412</v>
      </c>
      <c r="K56" s="136" t="s">
        <v>412</v>
      </c>
      <c r="L56" s="135"/>
      <c r="M56" s="136" t="s">
        <v>412</v>
      </c>
      <c r="N56" s="135"/>
      <c r="O56" s="136" t="s">
        <v>412</v>
      </c>
      <c r="P56" s="136" t="s">
        <v>412</v>
      </c>
      <c r="Q56" s="136" t="s">
        <v>412</v>
      </c>
      <c r="R56" s="136" t="s">
        <v>412</v>
      </c>
      <c r="S56" s="136" t="s">
        <v>412</v>
      </c>
      <c r="T56" s="136" t="s">
        <v>412</v>
      </c>
      <c r="U56" s="135"/>
      <c r="V56" s="136" t="s">
        <v>412</v>
      </c>
      <c r="W56" s="135"/>
      <c r="X56" s="136" t="s">
        <v>412</v>
      </c>
      <c r="Y56" s="135"/>
      <c r="Z56" s="136" t="s">
        <v>412</v>
      </c>
      <c r="AA56" s="136" t="s">
        <v>412</v>
      </c>
      <c r="AB56" s="136" t="s">
        <v>412</v>
      </c>
      <c r="AC56" s="136" t="s">
        <v>412</v>
      </c>
      <c r="AD56" s="135"/>
    </row>
    <row r="57">
      <c r="A57" s="139"/>
      <c r="B57" s="91" t="s">
        <v>240</v>
      </c>
      <c r="C57" s="91" t="s">
        <v>243</v>
      </c>
      <c r="D57" s="134">
        <v>14.0</v>
      </c>
      <c r="E57" s="135"/>
      <c r="F57" s="136" t="s">
        <v>412</v>
      </c>
      <c r="G57" s="136" t="s">
        <v>412</v>
      </c>
      <c r="H57" s="135"/>
      <c r="I57" s="136" t="s">
        <v>412</v>
      </c>
      <c r="J57" s="136" t="s">
        <v>412</v>
      </c>
      <c r="K57" s="136" t="s">
        <v>412</v>
      </c>
      <c r="L57" s="135"/>
      <c r="M57" s="136" t="s">
        <v>412</v>
      </c>
      <c r="N57" s="136" t="s">
        <v>412</v>
      </c>
      <c r="O57" s="135"/>
      <c r="P57" s="136" t="s">
        <v>412</v>
      </c>
      <c r="Q57" s="136" t="s">
        <v>412</v>
      </c>
      <c r="R57" s="135"/>
      <c r="S57" s="136" t="s">
        <v>412</v>
      </c>
      <c r="T57" s="135"/>
      <c r="U57" s="135"/>
      <c r="V57" s="135"/>
      <c r="W57" s="136" t="s">
        <v>412</v>
      </c>
      <c r="X57" s="136" t="s">
        <v>412</v>
      </c>
      <c r="Y57" s="136" t="s">
        <v>412</v>
      </c>
      <c r="Z57" s="135"/>
      <c r="AA57" s="136" t="s">
        <v>412</v>
      </c>
      <c r="AB57" s="135"/>
      <c r="AC57" s="135"/>
      <c r="AD57" s="135"/>
    </row>
    <row r="58">
      <c r="A58" s="139"/>
      <c r="B58" s="91" t="s">
        <v>240</v>
      </c>
      <c r="C58" s="91" t="s">
        <v>245</v>
      </c>
      <c r="D58" s="134">
        <v>12.0</v>
      </c>
      <c r="E58" s="135"/>
      <c r="F58" s="135"/>
      <c r="G58" s="136" t="s">
        <v>412</v>
      </c>
      <c r="H58" s="135"/>
      <c r="I58" s="136" t="s">
        <v>412</v>
      </c>
      <c r="J58" s="136" t="s">
        <v>412</v>
      </c>
      <c r="K58" s="136" t="s">
        <v>412</v>
      </c>
      <c r="L58" s="136" t="s">
        <v>412</v>
      </c>
      <c r="M58" s="135"/>
      <c r="N58" s="136" t="s">
        <v>412</v>
      </c>
      <c r="O58" s="135"/>
      <c r="P58" s="136" t="s">
        <v>412</v>
      </c>
      <c r="Q58" s="135"/>
      <c r="R58" s="136" t="s">
        <v>412</v>
      </c>
      <c r="S58" s="135"/>
      <c r="T58" s="135"/>
      <c r="U58" s="136" t="s">
        <v>412</v>
      </c>
      <c r="V58" s="135"/>
      <c r="W58" s="135"/>
      <c r="X58" s="135"/>
      <c r="Y58" s="136" t="s">
        <v>412</v>
      </c>
      <c r="Z58" s="136" t="s">
        <v>412</v>
      </c>
      <c r="AA58" s="135"/>
      <c r="AB58" s="136" t="s">
        <v>412</v>
      </c>
      <c r="AC58" s="135"/>
      <c r="AD58" s="135"/>
    </row>
    <row r="59">
      <c r="A59" s="139"/>
      <c r="B59" s="91" t="s">
        <v>240</v>
      </c>
      <c r="C59" s="91" t="s">
        <v>246</v>
      </c>
      <c r="D59" s="134">
        <v>11.0</v>
      </c>
      <c r="E59" s="135"/>
      <c r="F59" s="135"/>
      <c r="G59" s="136" t="s">
        <v>412</v>
      </c>
      <c r="H59" s="135"/>
      <c r="I59" s="136" t="s">
        <v>412</v>
      </c>
      <c r="J59" s="136" t="s">
        <v>412</v>
      </c>
      <c r="K59" s="135"/>
      <c r="L59" s="135"/>
      <c r="M59" s="135"/>
      <c r="N59" s="136" t="s">
        <v>412</v>
      </c>
      <c r="O59" s="135"/>
      <c r="P59" s="135"/>
      <c r="Q59" s="135"/>
      <c r="R59" s="136" t="s">
        <v>412</v>
      </c>
      <c r="S59" s="135"/>
      <c r="T59" s="136" t="s">
        <v>412</v>
      </c>
      <c r="U59" s="135"/>
      <c r="V59" s="135"/>
      <c r="W59" s="136" t="s">
        <v>412</v>
      </c>
      <c r="X59" s="136" t="s">
        <v>412</v>
      </c>
      <c r="Y59" s="135"/>
      <c r="Z59" s="136" t="s">
        <v>412</v>
      </c>
      <c r="AA59" s="135"/>
      <c r="AB59" s="135"/>
      <c r="AC59" s="136" t="s">
        <v>412</v>
      </c>
      <c r="AD59" s="136" t="s">
        <v>412</v>
      </c>
    </row>
    <row r="60">
      <c r="A60" s="139"/>
      <c r="B60" s="91" t="s">
        <v>240</v>
      </c>
      <c r="C60" s="91" t="s">
        <v>250</v>
      </c>
      <c r="D60" s="134">
        <v>9.0</v>
      </c>
      <c r="E60" s="135"/>
      <c r="F60" s="136" t="s">
        <v>412</v>
      </c>
      <c r="G60" s="135"/>
      <c r="H60" s="135"/>
      <c r="I60" s="135"/>
      <c r="J60" s="135"/>
      <c r="K60" s="135"/>
      <c r="L60" s="135"/>
      <c r="M60" s="136" t="s">
        <v>412</v>
      </c>
      <c r="N60" s="136" t="s">
        <v>412</v>
      </c>
      <c r="O60" s="135"/>
      <c r="P60" s="136" t="s">
        <v>412</v>
      </c>
      <c r="Q60" s="135"/>
      <c r="R60" s="136" t="s">
        <v>412</v>
      </c>
      <c r="S60" s="135"/>
      <c r="T60" s="135"/>
      <c r="U60" s="136" t="s">
        <v>412</v>
      </c>
      <c r="V60" s="135"/>
      <c r="W60" s="135"/>
      <c r="X60" s="135"/>
      <c r="Y60" s="135"/>
      <c r="Z60" s="135"/>
      <c r="AA60" s="136" t="s">
        <v>412</v>
      </c>
      <c r="AB60" s="136" t="s">
        <v>412</v>
      </c>
      <c r="AC60" s="135"/>
      <c r="AD60" s="136" t="s">
        <v>412</v>
      </c>
    </row>
    <row r="61">
      <c r="A61" s="139"/>
      <c r="B61" s="91" t="s">
        <v>240</v>
      </c>
      <c r="C61" s="91" t="s">
        <v>251</v>
      </c>
      <c r="D61" s="134">
        <v>7.0</v>
      </c>
      <c r="E61" s="135"/>
      <c r="F61" s="135"/>
      <c r="G61" s="135"/>
      <c r="H61" s="136" t="s">
        <v>412</v>
      </c>
      <c r="I61" s="136" t="s">
        <v>412</v>
      </c>
      <c r="J61" s="136" t="s">
        <v>412</v>
      </c>
      <c r="K61" s="136" t="s">
        <v>412</v>
      </c>
      <c r="L61" s="136" t="s">
        <v>412</v>
      </c>
      <c r="M61" s="136" t="s">
        <v>412</v>
      </c>
      <c r="N61" s="135"/>
      <c r="O61" s="136" t="s">
        <v>412</v>
      </c>
      <c r="P61" s="135"/>
      <c r="Q61" s="135"/>
      <c r="R61" s="135"/>
      <c r="S61" s="135"/>
      <c r="T61" s="135"/>
      <c r="U61" s="135"/>
      <c r="V61" s="135"/>
      <c r="W61" s="135"/>
      <c r="X61" s="135"/>
      <c r="Y61" s="135"/>
      <c r="Z61" s="135"/>
      <c r="AA61" s="135"/>
      <c r="AB61" s="135"/>
      <c r="AC61" s="135"/>
      <c r="AD61" s="135"/>
    </row>
    <row r="62">
      <c r="A62" s="139"/>
      <c r="B62" s="91" t="s">
        <v>240</v>
      </c>
      <c r="C62" s="91" t="s">
        <v>252</v>
      </c>
      <c r="D62" s="134">
        <v>4.0</v>
      </c>
      <c r="E62" s="135"/>
      <c r="F62" s="135"/>
      <c r="G62" s="136" t="s">
        <v>412</v>
      </c>
      <c r="H62" s="136" t="s">
        <v>412</v>
      </c>
      <c r="I62" s="135"/>
      <c r="J62" s="136" t="s">
        <v>412</v>
      </c>
      <c r="K62" s="135"/>
      <c r="L62" s="135"/>
      <c r="M62" s="136" t="s">
        <v>412</v>
      </c>
      <c r="N62" s="135"/>
      <c r="O62" s="135"/>
      <c r="P62" s="135"/>
      <c r="Q62" s="135"/>
      <c r="R62" s="135"/>
      <c r="S62" s="135"/>
      <c r="T62" s="135"/>
      <c r="U62" s="135"/>
      <c r="V62" s="135"/>
      <c r="W62" s="135"/>
      <c r="X62" s="135"/>
      <c r="Y62" s="135"/>
      <c r="Z62" s="135"/>
      <c r="AA62" s="135"/>
      <c r="AB62" s="135"/>
      <c r="AC62" s="135"/>
      <c r="AD62" s="135"/>
    </row>
    <row r="63">
      <c r="A63" s="12" t="s">
        <v>182</v>
      </c>
      <c r="B63" s="91" t="s">
        <v>254</v>
      </c>
      <c r="C63" s="91" t="s">
        <v>255</v>
      </c>
      <c r="D63" s="134">
        <v>12.0</v>
      </c>
      <c r="E63" s="135"/>
      <c r="F63" s="136" t="s">
        <v>412</v>
      </c>
      <c r="G63" s="135"/>
      <c r="H63" s="135"/>
      <c r="I63" s="136" t="s">
        <v>412</v>
      </c>
      <c r="J63" s="135"/>
      <c r="K63" s="136" t="s">
        <v>412</v>
      </c>
      <c r="L63" s="136" t="s">
        <v>412</v>
      </c>
      <c r="M63" s="136" t="s">
        <v>412</v>
      </c>
      <c r="N63" s="135"/>
      <c r="O63" s="135"/>
      <c r="P63" s="136" t="s">
        <v>412</v>
      </c>
      <c r="Q63" s="135"/>
      <c r="R63" s="135"/>
      <c r="S63" s="135"/>
      <c r="T63" s="136" t="s">
        <v>412</v>
      </c>
      <c r="U63" s="135"/>
      <c r="V63" s="135"/>
      <c r="W63" s="135"/>
      <c r="X63" s="136" t="s">
        <v>412</v>
      </c>
      <c r="Y63" s="135"/>
      <c r="Z63" s="136" t="s">
        <v>412</v>
      </c>
      <c r="AA63" s="136" t="s">
        <v>412</v>
      </c>
      <c r="AB63" s="135"/>
      <c r="AC63" s="136" t="s">
        <v>412</v>
      </c>
      <c r="AD63" s="136" t="s">
        <v>412</v>
      </c>
    </row>
    <row r="64">
      <c r="A64" s="12" t="s">
        <v>182</v>
      </c>
      <c r="B64" s="91" t="s">
        <v>254</v>
      </c>
      <c r="C64" s="91" t="s">
        <v>415</v>
      </c>
      <c r="D64" s="134">
        <v>9.0</v>
      </c>
      <c r="E64" s="135"/>
      <c r="F64" s="136" t="s">
        <v>412</v>
      </c>
      <c r="G64" s="135"/>
      <c r="H64" s="136" t="s">
        <v>412</v>
      </c>
      <c r="I64" s="136" t="s">
        <v>412</v>
      </c>
      <c r="J64" s="135"/>
      <c r="K64" s="136" t="s">
        <v>412</v>
      </c>
      <c r="L64" s="135"/>
      <c r="M64" s="135"/>
      <c r="N64" s="135"/>
      <c r="O64" s="136" t="s">
        <v>412</v>
      </c>
      <c r="P64" s="135"/>
      <c r="Q64" s="135"/>
      <c r="R64" s="135"/>
      <c r="S64" s="135"/>
      <c r="T64" s="135"/>
      <c r="U64" s="135"/>
      <c r="V64" s="135"/>
      <c r="W64" s="136" t="s">
        <v>412</v>
      </c>
      <c r="X64" s="135"/>
      <c r="Y64" s="135"/>
      <c r="Z64" s="136" t="s">
        <v>412</v>
      </c>
      <c r="AA64" s="136" t="s">
        <v>412</v>
      </c>
      <c r="AB64" s="135"/>
      <c r="AC64" s="135"/>
      <c r="AD64" s="136" t="s">
        <v>412</v>
      </c>
    </row>
    <row r="65">
      <c r="A65" s="12" t="s">
        <v>182</v>
      </c>
      <c r="B65" s="91" t="s">
        <v>254</v>
      </c>
      <c r="C65" s="91" t="s">
        <v>257</v>
      </c>
      <c r="D65" s="134">
        <v>5.0</v>
      </c>
      <c r="E65" s="135"/>
      <c r="F65" s="135"/>
      <c r="G65" s="135"/>
      <c r="H65" s="135"/>
      <c r="I65" s="135"/>
      <c r="J65" s="135"/>
      <c r="K65" s="135"/>
      <c r="L65" s="136" t="s">
        <v>412</v>
      </c>
      <c r="M65" s="136" t="s">
        <v>412</v>
      </c>
      <c r="N65" s="135"/>
      <c r="O65" s="135"/>
      <c r="P65" s="135"/>
      <c r="Q65" s="135"/>
      <c r="R65" s="136" t="s">
        <v>412</v>
      </c>
      <c r="S65" s="135"/>
      <c r="T65" s="136" t="s">
        <v>412</v>
      </c>
      <c r="U65" s="135"/>
      <c r="V65" s="135"/>
      <c r="W65" s="135"/>
      <c r="X65" s="135"/>
      <c r="Y65" s="136" t="s">
        <v>412</v>
      </c>
      <c r="Z65" s="135"/>
      <c r="AA65" s="135"/>
      <c r="AB65" s="135"/>
      <c r="AC65" s="135"/>
      <c r="AD65" s="135"/>
    </row>
    <row r="66">
      <c r="A66" s="139"/>
      <c r="B66" s="91" t="s">
        <v>258</v>
      </c>
      <c r="C66" s="91" t="s">
        <v>259</v>
      </c>
      <c r="D66" s="134">
        <v>18.0</v>
      </c>
      <c r="E66" s="135"/>
      <c r="F66" s="136" t="s">
        <v>412</v>
      </c>
      <c r="G66" s="136" t="s">
        <v>412</v>
      </c>
      <c r="H66" s="136" t="s">
        <v>412</v>
      </c>
      <c r="I66" s="136" t="s">
        <v>412</v>
      </c>
      <c r="J66" s="136" t="s">
        <v>412</v>
      </c>
      <c r="K66" s="136" t="s">
        <v>412</v>
      </c>
      <c r="L66" s="135"/>
      <c r="M66" s="136" t="s">
        <v>412</v>
      </c>
      <c r="N66" s="136" t="s">
        <v>412</v>
      </c>
      <c r="O66" s="136" t="s">
        <v>412</v>
      </c>
      <c r="P66" s="136" t="s">
        <v>412</v>
      </c>
      <c r="Q66" s="135"/>
      <c r="R66" s="136" t="s">
        <v>412</v>
      </c>
      <c r="S66" s="136" t="s">
        <v>412</v>
      </c>
      <c r="T66" s="136" t="s">
        <v>412</v>
      </c>
      <c r="U66" s="135"/>
      <c r="V66" s="135"/>
      <c r="W66" s="136" t="s">
        <v>412</v>
      </c>
      <c r="X66" s="135"/>
      <c r="Y66" s="135"/>
      <c r="Z66" s="136" t="s">
        <v>412</v>
      </c>
      <c r="AA66" s="136" t="s">
        <v>412</v>
      </c>
      <c r="AB66" s="136" t="s">
        <v>412</v>
      </c>
      <c r="AC66" s="136" t="s">
        <v>412</v>
      </c>
      <c r="AD66" s="135"/>
    </row>
    <row r="67">
      <c r="A67" s="139"/>
      <c r="B67" s="91" t="s">
        <v>258</v>
      </c>
      <c r="C67" s="91" t="s">
        <v>260</v>
      </c>
      <c r="D67" s="134">
        <v>16.0</v>
      </c>
      <c r="E67" s="135"/>
      <c r="F67" s="136" t="s">
        <v>412</v>
      </c>
      <c r="G67" s="136" t="s">
        <v>412</v>
      </c>
      <c r="H67" s="136" t="s">
        <v>412</v>
      </c>
      <c r="I67" s="136" t="s">
        <v>412</v>
      </c>
      <c r="J67" s="136" t="s">
        <v>412</v>
      </c>
      <c r="K67" s="136" t="s">
        <v>412</v>
      </c>
      <c r="L67" s="135"/>
      <c r="M67" s="136" t="s">
        <v>412</v>
      </c>
      <c r="N67" s="136" t="s">
        <v>412</v>
      </c>
      <c r="O67" s="136" t="s">
        <v>412</v>
      </c>
      <c r="P67" s="135"/>
      <c r="Q67" s="135"/>
      <c r="R67" s="136" t="s">
        <v>412</v>
      </c>
      <c r="S67" s="135"/>
      <c r="T67" s="135"/>
      <c r="U67" s="136" t="s">
        <v>412</v>
      </c>
      <c r="V67" s="136" t="s">
        <v>412</v>
      </c>
      <c r="W67" s="135"/>
      <c r="X67" s="136" t="s">
        <v>412</v>
      </c>
      <c r="Y67" s="136" t="s">
        <v>412</v>
      </c>
      <c r="Z67" s="135"/>
      <c r="AA67" s="136" t="s">
        <v>412</v>
      </c>
      <c r="AB67" s="135"/>
      <c r="AC67" s="136" t="s">
        <v>412</v>
      </c>
      <c r="AD67" s="135"/>
    </row>
    <row r="68">
      <c r="A68" s="139"/>
      <c r="B68" s="91" t="s">
        <v>258</v>
      </c>
      <c r="C68" s="91" t="s">
        <v>261</v>
      </c>
      <c r="D68" s="134">
        <v>14.0</v>
      </c>
      <c r="E68" s="135"/>
      <c r="F68" s="136" t="s">
        <v>412</v>
      </c>
      <c r="G68" s="136" t="s">
        <v>412</v>
      </c>
      <c r="H68" s="136" t="s">
        <v>412</v>
      </c>
      <c r="I68" s="136" t="s">
        <v>412</v>
      </c>
      <c r="J68" s="136" t="s">
        <v>412</v>
      </c>
      <c r="K68" s="136" t="s">
        <v>412</v>
      </c>
      <c r="L68" s="135"/>
      <c r="M68" s="135"/>
      <c r="N68" s="135"/>
      <c r="O68" s="136" t="s">
        <v>412</v>
      </c>
      <c r="P68" s="136" t="s">
        <v>412</v>
      </c>
      <c r="Q68" s="135"/>
      <c r="R68" s="135"/>
      <c r="S68" s="135"/>
      <c r="T68" s="136" t="s">
        <v>412</v>
      </c>
      <c r="U68" s="136" t="s">
        <v>412</v>
      </c>
      <c r="V68" s="136" t="s">
        <v>412</v>
      </c>
      <c r="W68" s="135"/>
      <c r="X68" s="136" t="s">
        <v>412</v>
      </c>
      <c r="Y68" s="135"/>
      <c r="Z68" s="136" t="s">
        <v>412</v>
      </c>
      <c r="AA68" s="135"/>
      <c r="AB68" s="135"/>
      <c r="AC68" s="136" t="s">
        <v>412</v>
      </c>
      <c r="AD68" s="135"/>
    </row>
    <row r="69">
      <c r="A69" s="12" t="s">
        <v>182</v>
      </c>
      <c r="B69" s="91" t="s">
        <v>258</v>
      </c>
      <c r="C69" s="91" t="s">
        <v>262</v>
      </c>
      <c r="D69" s="134">
        <v>11.0</v>
      </c>
      <c r="E69" s="135"/>
      <c r="F69" s="136" t="s">
        <v>412</v>
      </c>
      <c r="G69" s="136" t="s">
        <v>412</v>
      </c>
      <c r="H69" s="135"/>
      <c r="I69" s="136" t="s">
        <v>412</v>
      </c>
      <c r="J69" s="135"/>
      <c r="K69" s="136" t="s">
        <v>412</v>
      </c>
      <c r="L69" s="136" t="s">
        <v>412</v>
      </c>
      <c r="M69" s="135"/>
      <c r="N69" s="135"/>
      <c r="O69" s="135"/>
      <c r="P69" s="136" t="s">
        <v>412</v>
      </c>
      <c r="Q69" s="135"/>
      <c r="R69" s="136" t="s">
        <v>412</v>
      </c>
      <c r="S69" s="135"/>
      <c r="T69" s="136" t="s">
        <v>412</v>
      </c>
      <c r="U69" s="135"/>
      <c r="V69" s="136" t="s">
        <v>412</v>
      </c>
      <c r="W69" s="135"/>
      <c r="X69" s="135"/>
      <c r="Y69" s="135"/>
      <c r="Z69" s="135"/>
      <c r="AA69" s="135"/>
      <c r="AB69" s="136" t="s">
        <v>412</v>
      </c>
      <c r="AC69" s="135"/>
      <c r="AD69" s="136" t="s">
        <v>412</v>
      </c>
    </row>
    <row r="70">
      <c r="A70" s="139"/>
      <c r="B70" s="91" t="s">
        <v>258</v>
      </c>
      <c r="C70" s="91" t="s">
        <v>263</v>
      </c>
      <c r="D70" s="134">
        <v>7.0</v>
      </c>
      <c r="E70" s="135"/>
      <c r="F70" s="136" t="s">
        <v>412</v>
      </c>
      <c r="G70" s="135"/>
      <c r="H70" s="136" t="s">
        <v>412</v>
      </c>
      <c r="I70" s="135"/>
      <c r="J70" s="135"/>
      <c r="K70" s="136" t="s">
        <v>412</v>
      </c>
      <c r="L70" s="136" t="s">
        <v>412</v>
      </c>
      <c r="M70" s="135"/>
      <c r="N70" s="135"/>
      <c r="O70" s="135"/>
      <c r="P70" s="135"/>
      <c r="Q70" s="136" t="s">
        <v>412</v>
      </c>
      <c r="R70" s="136" t="s">
        <v>412</v>
      </c>
      <c r="S70" s="136" t="s">
        <v>412</v>
      </c>
      <c r="T70" s="135"/>
      <c r="U70" s="135"/>
      <c r="V70" s="135"/>
      <c r="W70" s="135"/>
      <c r="X70" s="135"/>
      <c r="Y70" s="135"/>
      <c r="Z70" s="135"/>
      <c r="AA70" s="135"/>
      <c r="AB70" s="135"/>
      <c r="AC70" s="135"/>
      <c r="AD70" s="135"/>
    </row>
    <row r="71">
      <c r="A71" s="12" t="s">
        <v>182</v>
      </c>
      <c r="B71" s="91" t="s">
        <v>258</v>
      </c>
      <c r="C71" s="91" t="s">
        <v>264</v>
      </c>
      <c r="D71" s="134">
        <v>6.0</v>
      </c>
      <c r="E71" s="135"/>
      <c r="F71" s="135"/>
      <c r="G71" s="135"/>
      <c r="H71" s="135"/>
      <c r="I71" s="136" t="s">
        <v>412</v>
      </c>
      <c r="J71" s="136" t="s">
        <v>412</v>
      </c>
      <c r="K71" s="135"/>
      <c r="L71" s="136" t="s">
        <v>412</v>
      </c>
      <c r="M71" s="136" t="s">
        <v>412</v>
      </c>
      <c r="N71" s="136" t="s">
        <v>412</v>
      </c>
      <c r="O71" s="135"/>
      <c r="P71" s="135"/>
      <c r="Q71" s="136" t="s">
        <v>412</v>
      </c>
      <c r="R71" s="135"/>
      <c r="S71" s="135"/>
      <c r="T71" s="135"/>
      <c r="U71" s="135"/>
      <c r="V71" s="135"/>
      <c r="W71" s="135"/>
      <c r="X71" s="135"/>
      <c r="Y71" s="135"/>
      <c r="Z71" s="135"/>
      <c r="AA71" s="135"/>
      <c r="AB71" s="135"/>
      <c r="AC71" s="135"/>
      <c r="AD71" s="135"/>
    </row>
    <row r="72">
      <c r="A72" s="139"/>
      <c r="B72" s="91" t="s">
        <v>258</v>
      </c>
      <c r="C72" s="137" t="s">
        <v>265</v>
      </c>
      <c r="D72" s="134"/>
      <c r="E72" s="135"/>
      <c r="F72" s="135"/>
      <c r="G72" s="135"/>
      <c r="H72" s="136"/>
      <c r="I72" s="136"/>
      <c r="J72" s="136"/>
      <c r="K72" s="135"/>
      <c r="L72" s="135"/>
      <c r="M72" s="136"/>
      <c r="N72" s="136"/>
      <c r="O72" s="135"/>
      <c r="P72" s="135"/>
      <c r="Q72" s="135"/>
      <c r="R72" s="135"/>
      <c r="S72" s="135"/>
      <c r="T72" s="135"/>
      <c r="U72" s="135"/>
      <c r="V72" s="135"/>
      <c r="W72" s="135"/>
      <c r="X72" s="135"/>
      <c r="Y72" s="135"/>
      <c r="Z72" s="135"/>
      <c r="AA72" s="135"/>
      <c r="AB72" s="135"/>
      <c r="AC72" s="136"/>
      <c r="AD72" s="135"/>
    </row>
    <row r="73">
      <c r="A73" s="12" t="s">
        <v>182</v>
      </c>
      <c r="B73" s="91" t="s">
        <v>258</v>
      </c>
      <c r="C73" s="91" t="s">
        <v>266</v>
      </c>
      <c r="D73" s="134">
        <v>6.0</v>
      </c>
      <c r="E73" s="135"/>
      <c r="F73" s="135"/>
      <c r="G73" s="135"/>
      <c r="H73" s="136" t="s">
        <v>412</v>
      </c>
      <c r="I73" s="136" t="s">
        <v>412</v>
      </c>
      <c r="J73" s="136" t="s">
        <v>412</v>
      </c>
      <c r="K73" s="135"/>
      <c r="L73" s="135"/>
      <c r="M73" s="136" t="s">
        <v>412</v>
      </c>
      <c r="N73" s="136" t="s">
        <v>412</v>
      </c>
      <c r="O73" s="135"/>
      <c r="P73" s="135"/>
      <c r="Q73" s="135"/>
      <c r="R73" s="135"/>
      <c r="S73" s="135"/>
      <c r="T73" s="135"/>
      <c r="U73" s="135"/>
      <c r="V73" s="135"/>
      <c r="W73" s="135"/>
      <c r="X73" s="135"/>
      <c r="Y73" s="135"/>
      <c r="Z73" s="135"/>
      <c r="AA73" s="135"/>
      <c r="AB73" s="135"/>
      <c r="AC73" s="136" t="s">
        <v>412</v>
      </c>
      <c r="AD73" s="135"/>
    </row>
    <row r="74">
      <c r="A74" s="12" t="s">
        <v>182</v>
      </c>
      <c r="B74" s="91" t="s">
        <v>267</v>
      </c>
      <c r="C74" s="91" t="s">
        <v>268</v>
      </c>
      <c r="D74" s="134">
        <v>6.0</v>
      </c>
      <c r="E74" s="135"/>
      <c r="F74" s="136" t="s">
        <v>412</v>
      </c>
      <c r="G74" s="136" t="s">
        <v>412</v>
      </c>
      <c r="H74" s="135"/>
      <c r="I74" s="136" t="s">
        <v>412</v>
      </c>
      <c r="J74" s="136" t="s">
        <v>412</v>
      </c>
      <c r="K74" s="135"/>
      <c r="L74" s="136" t="s">
        <v>412</v>
      </c>
      <c r="M74" s="135"/>
      <c r="N74" s="135"/>
      <c r="O74" s="135"/>
      <c r="P74" s="136" t="s">
        <v>412</v>
      </c>
      <c r="Q74" s="135"/>
      <c r="R74" s="135"/>
      <c r="S74" s="135"/>
      <c r="T74" s="135"/>
      <c r="U74" s="135"/>
      <c r="V74" s="135"/>
      <c r="W74" s="135"/>
      <c r="X74" s="135"/>
      <c r="Y74" s="135"/>
      <c r="Z74" s="135"/>
      <c r="AA74" s="135"/>
      <c r="AB74" s="135"/>
      <c r="AC74" s="135"/>
      <c r="AD74" s="135"/>
    </row>
    <row r="75">
      <c r="A75" s="12" t="s">
        <v>182</v>
      </c>
      <c r="B75" s="91" t="s">
        <v>267</v>
      </c>
      <c r="C75" s="91" t="s">
        <v>269</v>
      </c>
      <c r="D75" s="134">
        <v>4.0</v>
      </c>
      <c r="E75" s="135"/>
      <c r="F75" s="135"/>
      <c r="G75" s="135"/>
      <c r="H75" s="135"/>
      <c r="I75" s="136" t="s">
        <v>412</v>
      </c>
      <c r="J75" s="135"/>
      <c r="K75" s="136" t="s">
        <v>412</v>
      </c>
      <c r="L75" s="135"/>
      <c r="M75" s="136" t="s">
        <v>412</v>
      </c>
      <c r="N75" s="135"/>
      <c r="O75" s="135"/>
      <c r="P75" s="135"/>
      <c r="Q75" s="136" t="s">
        <v>412</v>
      </c>
      <c r="R75" s="135"/>
      <c r="S75" s="135"/>
      <c r="T75" s="135"/>
      <c r="U75" s="135"/>
      <c r="V75" s="135"/>
      <c r="W75" s="135"/>
      <c r="X75" s="135"/>
      <c r="Y75" s="135"/>
      <c r="Z75" s="135"/>
      <c r="AA75" s="135"/>
      <c r="AB75" s="135"/>
      <c r="AC75" s="135"/>
      <c r="AD75" s="135"/>
    </row>
    <row r="77"/>
    <row r="78"/>
    <row r="79"/>
    <row r="80"/>
    <row r="81"/>
    <row r="82"/>
    <row r="83"/>
    <row r="84"/>
    <row r="85"/>
    <row r="86"/>
    <row r="87"/>
    <row r="88"/>
  </sheetData>
  <autoFilter ref="$A$1:$AD$75"/>
  <mergeCells count="1">
    <mergeCell ref="B1:AD1"/>
  </mergeCells>
  <conditionalFormatting sqref="A3:A75">
    <cfRule type="containsText" dxfId="0" priority="1" operator="containsText" text="Activo">
      <formula>NOT(ISERROR(SEARCH(("Activo"),(A3))))</formula>
    </cfRule>
  </conditionalFormatting>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4" max="29" width="6.88"/>
  </cols>
  <sheetData>
    <row r="1">
      <c r="A1" s="145" t="s">
        <v>418</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88"/>
    </row>
    <row r="2">
      <c r="A2" s="133" t="s">
        <v>177</v>
      </c>
      <c r="B2" s="133" t="s">
        <v>2</v>
      </c>
      <c r="C2" s="146" t="s">
        <v>385</v>
      </c>
      <c r="D2" s="133" t="s">
        <v>386</v>
      </c>
      <c r="E2" s="133" t="s">
        <v>387</v>
      </c>
      <c r="F2" s="133" t="s">
        <v>388</v>
      </c>
      <c r="G2" s="133" t="s">
        <v>389</v>
      </c>
      <c r="H2" s="133" t="s">
        <v>390</v>
      </c>
      <c r="I2" s="133" t="s">
        <v>391</v>
      </c>
      <c r="J2" s="133" t="s">
        <v>392</v>
      </c>
      <c r="K2" s="133" t="s">
        <v>393</v>
      </c>
      <c r="L2" s="133" t="s">
        <v>394</v>
      </c>
      <c r="M2" s="133" t="s">
        <v>395</v>
      </c>
      <c r="N2" s="133" t="s">
        <v>396</v>
      </c>
      <c r="O2" s="133" t="s">
        <v>397</v>
      </c>
      <c r="P2" s="133" t="s">
        <v>398</v>
      </c>
      <c r="Q2" s="133" t="s">
        <v>399</v>
      </c>
      <c r="R2" s="133" t="s">
        <v>400</v>
      </c>
      <c r="S2" s="133" t="s">
        <v>401</v>
      </c>
      <c r="T2" s="133" t="s">
        <v>402</v>
      </c>
      <c r="U2" s="133" t="s">
        <v>403</v>
      </c>
      <c r="V2" s="133" t="s">
        <v>404</v>
      </c>
      <c r="W2" s="133" t="s">
        <v>405</v>
      </c>
      <c r="X2" s="133" t="s">
        <v>406</v>
      </c>
      <c r="Y2" s="133" t="s">
        <v>407</v>
      </c>
      <c r="Z2" s="133" t="s">
        <v>408</v>
      </c>
      <c r="AA2" s="133" t="s">
        <v>409</v>
      </c>
      <c r="AB2" s="133" t="s">
        <v>410</v>
      </c>
      <c r="AC2" s="133" t="s">
        <v>411</v>
      </c>
    </row>
    <row r="3">
      <c r="A3" s="91" t="s">
        <v>271</v>
      </c>
      <c r="B3" s="91" t="s">
        <v>272</v>
      </c>
      <c r="C3" s="147">
        <v>17.0</v>
      </c>
      <c r="D3" s="135"/>
      <c r="E3" s="135"/>
      <c r="F3" s="136" t="s">
        <v>412</v>
      </c>
      <c r="G3" s="136" t="s">
        <v>412</v>
      </c>
      <c r="H3" s="136" t="s">
        <v>412</v>
      </c>
      <c r="I3" s="136" t="s">
        <v>412</v>
      </c>
      <c r="J3" s="136" t="s">
        <v>412</v>
      </c>
      <c r="K3" s="136" t="s">
        <v>412</v>
      </c>
      <c r="L3" s="136" t="s">
        <v>412</v>
      </c>
      <c r="M3" s="135"/>
      <c r="N3" s="136" t="s">
        <v>412</v>
      </c>
      <c r="O3" s="136" t="s">
        <v>412</v>
      </c>
      <c r="P3" s="136" t="s">
        <v>412</v>
      </c>
      <c r="Q3" s="136" t="s">
        <v>412</v>
      </c>
      <c r="R3" s="136" t="s">
        <v>412</v>
      </c>
      <c r="S3" s="136" t="s">
        <v>412</v>
      </c>
      <c r="T3" s="135"/>
      <c r="U3" s="135"/>
      <c r="V3" s="136" t="s">
        <v>412</v>
      </c>
      <c r="W3" s="136" t="s">
        <v>412</v>
      </c>
      <c r="X3" s="135"/>
      <c r="Y3" s="136" t="s">
        <v>412</v>
      </c>
      <c r="Z3" s="135"/>
      <c r="AA3" s="135"/>
      <c r="AB3" s="135"/>
      <c r="AC3" s="136" t="s">
        <v>412</v>
      </c>
    </row>
    <row r="4">
      <c r="A4" s="91" t="s">
        <v>271</v>
      </c>
      <c r="B4" s="91" t="s">
        <v>273</v>
      </c>
      <c r="C4" s="147">
        <v>17.0</v>
      </c>
      <c r="D4" s="135"/>
      <c r="E4" s="136" t="s">
        <v>412</v>
      </c>
      <c r="F4" s="136" t="s">
        <v>412</v>
      </c>
      <c r="G4" s="136" t="s">
        <v>412</v>
      </c>
      <c r="H4" s="136" t="s">
        <v>412</v>
      </c>
      <c r="I4" s="136" t="s">
        <v>412</v>
      </c>
      <c r="J4" s="136" t="s">
        <v>412</v>
      </c>
      <c r="K4" s="136" t="s">
        <v>412</v>
      </c>
      <c r="L4" s="136" t="s">
        <v>412</v>
      </c>
      <c r="M4" s="135"/>
      <c r="N4" s="136" t="s">
        <v>412</v>
      </c>
      <c r="O4" s="135"/>
      <c r="P4" s="136" t="s">
        <v>412</v>
      </c>
      <c r="Q4" s="136" t="s">
        <v>412</v>
      </c>
      <c r="R4" s="135"/>
      <c r="S4" s="135"/>
      <c r="T4" s="135"/>
      <c r="U4" s="136" t="s">
        <v>412</v>
      </c>
      <c r="V4" s="135"/>
      <c r="W4" s="136" t="s">
        <v>412</v>
      </c>
      <c r="X4" s="135"/>
      <c r="Y4" s="136" t="s">
        <v>412</v>
      </c>
      <c r="Z4" s="136" t="s">
        <v>412</v>
      </c>
      <c r="AA4" s="135"/>
      <c r="AB4" s="136" t="s">
        <v>412</v>
      </c>
      <c r="AC4" s="136" t="s">
        <v>412</v>
      </c>
    </row>
    <row r="5">
      <c r="A5" s="91" t="s">
        <v>271</v>
      </c>
      <c r="B5" s="91" t="s">
        <v>274</v>
      </c>
      <c r="C5" s="147">
        <v>17.0</v>
      </c>
      <c r="D5" s="135"/>
      <c r="E5" s="135"/>
      <c r="F5" s="136" t="s">
        <v>412</v>
      </c>
      <c r="G5" s="136" t="s">
        <v>412</v>
      </c>
      <c r="H5" s="136" t="s">
        <v>412</v>
      </c>
      <c r="I5" s="136" t="s">
        <v>412</v>
      </c>
      <c r="J5" s="136" t="s">
        <v>412</v>
      </c>
      <c r="K5" s="136" t="s">
        <v>412</v>
      </c>
      <c r="L5" s="136" t="s">
        <v>412</v>
      </c>
      <c r="M5" s="135"/>
      <c r="N5" s="135"/>
      <c r="O5" s="136" t="s">
        <v>412</v>
      </c>
      <c r="P5" s="135"/>
      <c r="Q5" s="136" t="s">
        <v>412</v>
      </c>
      <c r="R5" s="136" t="s">
        <v>412</v>
      </c>
      <c r="S5" s="136" t="s">
        <v>412</v>
      </c>
      <c r="T5" s="136" t="s">
        <v>412</v>
      </c>
      <c r="U5" s="135"/>
      <c r="V5" s="136" t="s">
        <v>412</v>
      </c>
      <c r="W5" s="135"/>
      <c r="X5" s="136" t="s">
        <v>412</v>
      </c>
      <c r="Y5" s="135"/>
      <c r="Z5" s="136" t="s">
        <v>412</v>
      </c>
      <c r="AA5" s="136" t="s">
        <v>412</v>
      </c>
      <c r="AB5" s="136" t="s">
        <v>412</v>
      </c>
      <c r="AC5" s="135"/>
    </row>
    <row r="6">
      <c r="A6" s="91" t="s">
        <v>271</v>
      </c>
      <c r="B6" s="91" t="s">
        <v>275</v>
      </c>
      <c r="C6" s="147">
        <v>16.0</v>
      </c>
      <c r="D6" s="135"/>
      <c r="E6" s="136" t="s">
        <v>412</v>
      </c>
      <c r="F6" s="136" t="s">
        <v>412</v>
      </c>
      <c r="G6" s="136" t="s">
        <v>412</v>
      </c>
      <c r="H6" s="135"/>
      <c r="I6" s="136" t="s">
        <v>412</v>
      </c>
      <c r="J6" s="136" t="s">
        <v>412</v>
      </c>
      <c r="K6" s="136" t="s">
        <v>412</v>
      </c>
      <c r="L6" s="136" t="s">
        <v>412</v>
      </c>
      <c r="M6" s="135"/>
      <c r="N6" s="135"/>
      <c r="O6" s="135"/>
      <c r="P6" s="136" t="s">
        <v>412</v>
      </c>
      <c r="Q6" s="136" t="s">
        <v>412</v>
      </c>
      <c r="R6" s="135"/>
      <c r="S6" s="136" t="s">
        <v>412</v>
      </c>
      <c r="T6" s="136" t="s">
        <v>412</v>
      </c>
      <c r="U6" s="135"/>
      <c r="V6" s="136" t="s">
        <v>412</v>
      </c>
      <c r="W6" s="135"/>
      <c r="X6" s="136" t="s">
        <v>412</v>
      </c>
      <c r="Y6" s="135"/>
      <c r="Z6" s="136" t="s">
        <v>412</v>
      </c>
      <c r="AA6" s="136" t="s">
        <v>412</v>
      </c>
      <c r="AB6" s="136" t="s">
        <v>412</v>
      </c>
      <c r="AC6" s="135"/>
    </row>
    <row r="7">
      <c r="A7" s="91" t="s">
        <v>271</v>
      </c>
      <c r="B7" s="91" t="s">
        <v>276</v>
      </c>
      <c r="C7" s="147">
        <v>15.0</v>
      </c>
      <c r="D7" s="135"/>
      <c r="E7" s="136" t="s">
        <v>412</v>
      </c>
      <c r="F7" s="136" t="s">
        <v>412</v>
      </c>
      <c r="G7" s="136" t="s">
        <v>412</v>
      </c>
      <c r="H7" s="135"/>
      <c r="I7" s="136" t="s">
        <v>412</v>
      </c>
      <c r="J7" s="136" t="s">
        <v>412</v>
      </c>
      <c r="K7" s="136" t="s">
        <v>412</v>
      </c>
      <c r="L7" s="136" t="s">
        <v>412</v>
      </c>
      <c r="M7" s="136" t="s">
        <v>412</v>
      </c>
      <c r="N7" s="135"/>
      <c r="O7" s="135"/>
      <c r="P7" s="135"/>
      <c r="Q7" s="135"/>
      <c r="R7" s="135"/>
      <c r="S7" s="136" t="s">
        <v>412</v>
      </c>
      <c r="T7" s="136" t="s">
        <v>412</v>
      </c>
      <c r="U7" s="136" t="s">
        <v>412</v>
      </c>
      <c r="V7" s="135"/>
      <c r="W7" s="136" t="s">
        <v>412</v>
      </c>
      <c r="X7" s="136" t="s">
        <v>412</v>
      </c>
      <c r="Y7" s="135"/>
      <c r="Z7" s="136" t="s">
        <v>412</v>
      </c>
      <c r="AA7" s="136" t="s">
        <v>412</v>
      </c>
      <c r="AB7" s="135"/>
      <c r="AC7" s="135"/>
    </row>
    <row r="8">
      <c r="A8" s="91" t="s">
        <v>271</v>
      </c>
      <c r="B8" s="91" t="s">
        <v>277</v>
      </c>
      <c r="C8" s="147">
        <v>13.0</v>
      </c>
      <c r="D8" s="135"/>
      <c r="E8" s="135"/>
      <c r="F8" s="136" t="s">
        <v>412</v>
      </c>
      <c r="G8" s="136" t="s">
        <v>412</v>
      </c>
      <c r="H8" s="136" t="s">
        <v>412</v>
      </c>
      <c r="I8" s="136" t="s">
        <v>412</v>
      </c>
      <c r="J8" s="136" t="s">
        <v>412</v>
      </c>
      <c r="K8" s="135"/>
      <c r="L8" s="135"/>
      <c r="M8" s="135"/>
      <c r="N8" s="135"/>
      <c r="O8" s="135"/>
      <c r="P8" s="136" t="s">
        <v>412</v>
      </c>
      <c r="Q8" s="135"/>
      <c r="R8" s="136" t="s">
        <v>412</v>
      </c>
      <c r="S8" s="135"/>
      <c r="T8" s="135"/>
      <c r="U8" s="136" t="s">
        <v>412</v>
      </c>
      <c r="V8" s="135"/>
      <c r="W8" s="136" t="s">
        <v>412</v>
      </c>
      <c r="X8" s="136" t="s">
        <v>412</v>
      </c>
      <c r="Y8" s="135"/>
      <c r="Z8" s="136" t="s">
        <v>412</v>
      </c>
      <c r="AA8" s="135"/>
      <c r="AB8" s="136" t="s">
        <v>412</v>
      </c>
      <c r="AC8" s="136" t="s">
        <v>412</v>
      </c>
    </row>
    <row r="9">
      <c r="A9" s="91" t="s">
        <v>271</v>
      </c>
      <c r="B9" s="148" t="s">
        <v>278</v>
      </c>
      <c r="C9" s="147">
        <v>13.0</v>
      </c>
      <c r="D9" s="135"/>
      <c r="E9" s="135"/>
      <c r="F9" s="135"/>
      <c r="G9" s="135"/>
      <c r="H9" s="135"/>
      <c r="I9" s="135"/>
      <c r="J9" s="135"/>
      <c r="K9" s="136" t="s">
        <v>412</v>
      </c>
      <c r="L9" s="136" t="s">
        <v>412</v>
      </c>
      <c r="M9" s="136" t="s">
        <v>412</v>
      </c>
      <c r="N9" s="136" t="s">
        <v>412</v>
      </c>
      <c r="O9" s="136" t="s">
        <v>412</v>
      </c>
      <c r="P9" s="136" t="s">
        <v>412</v>
      </c>
      <c r="Q9" s="135"/>
      <c r="R9" s="135"/>
      <c r="S9" s="136" t="s">
        <v>412</v>
      </c>
      <c r="T9" s="136" t="s">
        <v>412</v>
      </c>
      <c r="U9" s="136" t="s">
        <v>412</v>
      </c>
      <c r="V9" s="135"/>
      <c r="W9" s="136" t="s">
        <v>412</v>
      </c>
      <c r="X9" s="135"/>
      <c r="Y9" s="136" t="s">
        <v>412</v>
      </c>
      <c r="Z9" s="136" t="s">
        <v>412</v>
      </c>
      <c r="AA9" s="135"/>
      <c r="AB9" s="136" t="s">
        <v>412</v>
      </c>
      <c r="AC9" s="135"/>
    </row>
    <row r="10">
      <c r="A10" s="91" t="s">
        <v>271</v>
      </c>
      <c r="B10" s="91" t="s">
        <v>282</v>
      </c>
      <c r="C10" s="147">
        <v>12.0</v>
      </c>
      <c r="D10" s="135"/>
      <c r="E10" s="136" t="s">
        <v>412</v>
      </c>
      <c r="F10" s="136" t="s">
        <v>412</v>
      </c>
      <c r="G10" s="136" t="s">
        <v>412</v>
      </c>
      <c r="H10" s="135"/>
      <c r="I10" s="135"/>
      <c r="J10" s="135"/>
      <c r="K10" s="135"/>
      <c r="L10" s="135"/>
      <c r="M10" s="135"/>
      <c r="N10" s="135"/>
      <c r="O10" s="136" t="s">
        <v>412</v>
      </c>
      <c r="P10" s="136" t="s">
        <v>412</v>
      </c>
      <c r="Q10" s="136" t="s">
        <v>412</v>
      </c>
      <c r="R10" s="136" t="s">
        <v>412</v>
      </c>
      <c r="S10" s="136" t="s">
        <v>412</v>
      </c>
      <c r="T10" s="136" t="s">
        <v>412</v>
      </c>
      <c r="U10" s="135"/>
      <c r="V10" s="136" t="s">
        <v>412</v>
      </c>
      <c r="W10" s="135"/>
      <c r="X10" s="135"/>
      <c r="Y10" s="135"/>
      <c r="Z10" s="136" t="s">
        <v>412</v>
      </c>
      <c r="AA10" s="135"/>
      <c r="AB10" s="136" t="s">
        <v>412</v>
      </c>
      <c r="AC10" s="135"/>
    </row>
    <row r="11">
      <c r="A11" s="91" t="s">
        <v>271</v>
      </c>
      <c r="B11" s="91" t="s">
        <v>283</v>
      </c>
      <c r="C11" s="147">
        <v>12.0</v>
      </c>
      <c r="D11" s="135"/>
      <c r="E11" s="135"/>
      <c r="F11" s="135"/>
      <c r="G11" s="135"/>
      <c r="H11" s="136" t="s">
        <v>412</v>
      </c>
      <c r="I11" s="136" t="s">
        <v>412</v>
      </c>
      <c r="J11" s="136" t="s">
        <v>412</v>
      </c>
      <c r="K11" s="136" t="s">
        <v>412</v>
      </c>
      <c r="L11" s="136" t="s">
        <v>412</v>
      </c>
      <c r="M11" s="135"/>
      <c r="N11" s="135"/>
      <c r="O11" s="135"/>
      <c r="P11" s="136" t="s">
        <v>412</v>
      </c>
      <c r="Q11" s="136" t="s">
        <v>412</v>
      </c>
      <c r="R11" s="136" t="s">
        <v>412</v>
      </c>
      <c r="S11" s="135"/>
      <c r="T11" s="135"/>
      <c r="U11" s="136" t="s">
        <v>412</v>
      </c>
      <c r="V11" s="135"/>
      <c r="W11" s="136" t="s">
        <v>412</v>
      </c>
      <c r="X11" s="135"/>
      <c r="Y11" s="136" t="s">
        <v>412</v>
      </c>
      <c r="Z11" s="135"/>
      <c r="AA11" s="135"/>
      <c r="AB11" s="135"/>
      <c r="AC11" s="136" t="s">
        <v>412</v>
      </c>
    </row>
    <row r="12">
      <c r="A12" s="91" t="s">
        <v>271</v>
      </c>
      <c r="B12" s="91" t="s">
        <v>284</v>
      </c>
      <c r="C12" s="147">
        <v>10.0</v>
      </c>
      <c r="D12" s="135"/>
      <c r="E12" s="135"/>
      <c r="F12" s="135"/>
      <c r="G12" s="135"/>
      <c r="H12" s="135"/>
      <c r="I12" s="135"/>
      <c r="J12" s="135"/>
      <c r="K12" s="135"/>
      <c r="L12" s="135"/>
      <c r="M12" s="135"/>
      <c r="N12" s="135"/>
      <c r="O12" s="135"/>
      <c r="P12" s="136" t="s">
        <v>412</v>
      </c>
      <c r="Q12" s="136" t="s">
        <v>412</v>
      </c>
      <c r="R12" s="136" t="s">
        <v>412</v>
      </c>
      <c r="S12" s="136" t="s">
        <v>412</v>
      </c>
      <c r="T12" s="136" t="s">
        <v>412</v>
      </c>
      <c r="U12" s="135"/>
      <c r="V12" s="136" t="s">
        <v>412</v>
      </c>
      <c r="W12" s="135"/>
      <c r="X12" s="136" t="s">
        <v>412</v>
      </c>
      <c r="Y12" s="136" t="s">
        <v>412</v>
      </c>
      <c r="Z12" s="136" t="s">
        <v>412</v>
      </c>
      <c r="AA12" s="135"/>
      <c r="AB12" s="135"/>
      <c r="AC12" s="136" t="s">
        <v>412</v>
      </c>
    </row>
    <row r="13">
      <c r="A13" s="91" t="s">
        <v>271</v>
      </c>
      <c r="B13" s="149" t="s">
        <v>419</v>
      </c>
      <c r="C13" s="147">
        <v>10.0</v>
      </c>
      <c r="D13" s="135"/>
      <c r="E13" s="136" t="s">
        <v>412</v>
      </c>
      <c r="F13" s="135"/>
      <c r="G13" s="136" t="s">
        <v>412</v>
      </c>
      <c r="H13" s="136" t="s">
        <v>412</v>
      </c>
      <c r="I13" s="136" t="s">
        <v>412</v>
      </c>
      <c r="J13" s="136" t="s">
        <v>412</v>
      </c>
      <c r="K13" s="135"/>
      <c r="L13" s="135"/>
      <c r="M13" s="135"/>
      <c r="N13" s="136" t="s">
        <v>412</v>
      </c>
      <c r="O13" s="136" t="s">
        <v>412</v>
      </c>
      <c r="P13" s="136" t="s">
        <v>412</v>
      </c>
      <c r="Q13" s="135"/>
      <c r="R13" s="136" t="s">
        <v>412</v>
      </c>
      <c r="S13" s="135"/>
      <c r="T13" s="135"/>
      <c r="U13" s="136" t="s">
        <v>412</v>
      </c>
      <c r="V13" s="135"/>
      <c r="W13" s="135"/>
      <c r="X13" s="135"/>
      <c r="Y13" s="135"/>
      <c r="Z13" s="135"/>
      <c r="AA13" s="135"/>
      <c r="AB13" s="135"/>
      <c r="AC13" s="135"/>
    </row>
    <row r="14">
      <c r="A14" s="91" t="s">
        <v>271</v>
      </c>
      <c r="B14" s="91" t="s">
        <v>290</v>
      </c>
      <c r="C14" s="147">
        <v>9.0</v>
      </c>
      <c r="D14" s="135"/>
      <c r="E14" s="136" t="s">
        <v>412</v>
      </c>
      <c r="F14" s="135"/>
      <c r="G14" s="135"/>
      <c r="H14" s="136" t="s">
        <v>412</v>
      </c>
      <c r="I14" s="135"/>
      <c r="J14" s="136" t="s">
        <v>412</v>
      </c>
      <c r="K14" s="136" t="s">
        <v>412</v>
      </c>
      <c r="L14" s="136" t="s">
        <v>412</v>
      </c>
      <c r="M14" s="135"/>
      <c r="N14" s="135"/>
      <c r="O14" s="135"/>
      <c r="P14" s="135"/>
      <c r="Q14" s="135"/>
      <c r="R14" s="135"/>
      <c r="S14" s="135"/>
      <c r="T14" s="135"/>
      <c r="U14" s="135"/>
      <c r="V14" s="135"/>
      <c r="W14" s="136" t="s">
        <v>412</v>
      </c>
      <c r="X14" s="136" t="s">
        <v>412</v>
      </c>
      <c r="Y14" s="135"/>
      <c r="Z14" s="136" t="s">
        <v>412</v>
      </c>
      <c r="AA14" s="136" t="s">
        <v>412</v>
      </c>
      <c r="AB14" s="135"/>
      <c r="AC14" s="135"/>
    </row>
    <row r="15">
      <c r="A15" s="91" t="s">
        <v>180</v>
      </c>
      <c r="B15" s="91" t="s">
        <v>291</v>
      </c>
      <c r="C15" s="147">
        <v>16.0</v>
      </c>
      <c r="D15" s="135"/>
      <c r="E15" s="135"/>
      <c r="F15" s="136" t="s">
        <v>412</v>
      </c>
      <c r="G15" s="136" t="s">
        <v>412</v>
      </c>
      <c r="H15" s="136" t="s">
        <v>412</v>
      </c>
      <c r="I15" s="135"/>
      <c r="J15" s="136" t="s">
        <v>412</v>
      </c>
      <c r="K15" s="135"/>
      <c r="L15" s="136" t="s">
        <v>412</v>
      </c>
      <c r="M15" s="136" t="s">
        <v>412</v>
      </c>
      <c r="N15" s="136" t="s">
        <v>412</v>
      </c>
      <c r="O15" s="135"/>
      <c r="P15" s="135"/>
      <c r="Q15" s="136" t="s">
        <v>412</v>
      </c>
      <c r="R15" s="136" t="s">
        <v>412</v>
      </c>
      <c r="S15" s="136" t="s">
        <v>412</v>
      </c>
      <c r="T15" s="136" t="s">
        <v>412</v>
      </c>
      <c r="U15" s="135"/>
      <c r="V15" s="136" t="s">
        <v>412</v>
      </c>
      <c r="W15" s="136" t="s">
        <v>412</v>
      </c>
      <c r="X15" s="136" t="s">
        <v>412</v>
      </c>
      <c r="Y15" s="135"/>
      <c r="Z15" s="136" t="s">
        <v>412</v>
      </c>
      <c r="AA15" s="135"/>
      <c r="AB15" s="136" t="s">
        <v>412</v>
      </c>
      <c r="AC15" s="135"/>
    </row>
    <row r="16">
      <c r="A16" s="91" t="s">
        <v>180</v>
      </c>
      <c r="B16" s="91" t="s">
        <v>292</v>
      </c>
      <c r="C16" s="147">
        <v>15.0</v>
      </c>
      <c r="D16" s="135"/>
      <c r="E16" s="135"/>
      <c r="F16" s="135"/>
      <c r="G16" s="136" t="s">
        <v>412</v>
      </c>
      <c r="H16" s="136" t="s">
        <v>412</v>
      </c>
      <c r="I16" s="135"/>
      <c r="J16" s="136" t="s">
        <v>412</v>
      </c>
      <c r="K16" s="136" t="s">
        <v>412</v>
      </c>
      <c r="L16" s="136" t="s">
        <v>412</v>
      </c>
      <c r="M16" s="135"/>
      <c r="N16" s="136" t="s">
        <v>412</v>
      </c>
      <c r="O16" s="136" t="s">
        <v>412</v>
      </c>
      <c r="P16" s="136" t="s">
        <v>412</v>
      </c>
      <c r="Q16" s="136" t="s">
        <v>412</v>
      </c>
      <c r="R16" s="135"/>
      <c r="S16" s="135"/>
      <c r="T16" s="135"/>
      <c r="U16" s="136" t="s">
        <v>412</v>
      </c>
      <c r="V16" s="136" t="s">
        <v>412</v>
      </c>
      <c r="W16" s="136" t="s">
        <v>412</v>
      </c>
      <c r="X16" s="136" t="s">
        <v>412</v>
      </c>
      <c r="Y16" s="135"/>
      <c r="Z16" s="136" t="s">
        <v>412</v>
      </c>
      <c r="AA16" s="135"/>
      <c r="AB16" s="136" t="s">
        <v>412</v>
      </c>
      <c r="AC16" s="135"/>
    </row>
    <row r="17">
      <c r="A17" s="91" t="s">
        <v>180</v>
      </c>
      <c r="B17" s="91" t="s">
        <v>293</v>
      </c>
      <c r="C17" s="147">
        <v>15.0</v>
      </c>
      <c r="D17" s="135"/>
      <c r="E17" s="136" t="s">
        <v>412</v>
      </c>
      <c r="F17" s="136" t="s">
        <v>412</v>
      </c>
      <c r="G17" s="136" t="s">
        <v>412</v>
      </c>
      <c r="H17" s="135"/>
      <c r="I17" s="135"/>
      <c r="J17" s="135"/>
      <c r="K17" s="136" t="s">
        <v>412</v>
      </c>
      <c r="L17" s="136" t="s">
        <v>412</v>
      </c>
      <c r="M17" s="136" t="s">
        <v>412</v>
      </c>
      <c r="N17" s="136" t="s">
        <v>412</v>
      </c>
      <c r="O17" s="136" t="s">
        <v>412</v>
      </c>
      <c r="P17" s="135"/>
      <c r="Q17" s="136" t="s">
        <v>412</v>
      </c>
      <c r="R17" s="135"/>
      <c r="S17" s="135"/>
      <c r="T17" s="136" t="s">
        <v>412</v>
      </c>
      <c r="U17" s="136" t="s">
        <v>412</v>
      </c>
      <c r="V17" s="135"/>
      <c r="W17" s="135"/>
      <c r="X17" s="135"/>
      <c r="Y17" s="136" t="s">
        <v>412</v>
      </c>
      <c r="Z17" s="135"/>
      <c r="AA17" s="136" t="s">
        <v>412</v>
      </c>
      <c r="AB17" s="136" t="s">
        <v>412</v>
      </c>
      <c r="AC17" s="136" t="s">
        <v>412</v>
      </c>
    </row>
    <row r="18">
      <c r="A18" s="91" t="s">
        <v>180</v>
      </c>
      <c r="B18" s="91" t="s">
        <v>294</v>
      </c>
      <c r="C18" s="147">
        <v>14.0</v>
      </c>
      <c r="D18" s="135"/>
      <c r="E18" s="135"/>
      <c r="F18" s="135"/>
      <c r="G18" s="136" t="s">
        <v>412</v>
      </c>
      <c r="H18" s="136" t="s">
        <v>412</v>
      </c>
      <c r="I18" s="136" t="s">
        <v>412</v>
      </c>
      <c r="J18" s="136" t="s">
        <v>412</v>
      </c>
      <c r="K18" s="136" t="s">
        <v>412</v>
      </c>
      <c r="L18" s="135"/>
      <c r="M18" s="135"/>
      <c r="N18" s="135"/>
      <c r="O18" s="135"/>
      <c r="P18" s="136" t="s">
        <v>412</v>
      </c>
      <c r="Q18" s="136" t="s">
        <v>412</v>
      </c>
      <c r="R18" s="136" t="s">
        <v>412</v>
      </c>
      <c r="S18" s="135"/>
      <c r="T18" s="136" t="s">
        <v>412</v>
      </c>
      <c r="U18" s="136" t="s">
        <v>412</v>
      </c>
      <c r="V18" s="135"/>
      <c r="W18" s="135"/>
      <c r="X18" s="136" t="s">
        <v>412</v>
      </c>
      <c r="Y18" s="136" t="s">
        <v>412</v>
      </c>
      <c r="Z18" s="135"/>
      <c r="AA18" s="136" t="s">
        <v>412</v>
      </c>
      <c r="AB18" s="135"/>
      <c r="AC18" s="136" t="s">
        <v>412</v>
      </c>
    </row>
    <row r="19">
      <c r="A19" s="91" t="s">
        <v>180</v>
      </c>
      <c r="B19" s="91" t="s">
        <v>295</v>
      </c>
      <c r="C19" s="147">
        <v>12.0</v>
      </c>
      <c r="D19" s="135"/>
      <c r="E19" s="136" t="s">
        <v>412</v>
      </c>
      <c r="F19" s="135"/>
      <c r="G19" s="135"/>
      <c r="H19" s="135"/>
      <c r="I19" s="135"/>
      <c r="J19" s="136" t="s">
        <v>412</v>
      </c>
      <c r="K19" s="136" t="s">
        <v>412</v>
      </c>
      <c r="L19" s="136" t="s">
        <v>412</v>
      </c>
      <c r="M19" s="135"/>
      <c r="N19" s="135"/>
      <c r="O19" s="136" t="s">
        <v>412</v>
      </c>
      <c r="P19" s="136" t="s">
        <v>412</v>
      </c>
      <c r="Q19" s="136" t="s">
        <v>412</v>
      </c>
      <c r="R19" s="135"/>
      <c r="S19" s="136" t="s">
        <v>412</v>
      </c>
      <c r="T19" s="135"/>
      <c r="U19" s="135"/>
      <c r="V19" s="136" t="s">
        <v>412</v>
      </c>
      <c r="W19" s="136" t="s">
        <v>412</v>
      </c>
      <c r="X19" s="135"/>
      <c r="Y19" s="136" t="s">
        <v>412</v>
      </c>
      <c r="Z19" s="135"/>
      <c r="AA19" s="135"/>
      <c r="AB19" s="135"/>
      <c r="AC19" s="136" t="s">
        <v>412</v>
      </c>
    </row>
    <row r="20">
      <c r="A20" s="91" t="s">
        <v>180</v>
      </c>
      <c r="B20" s="91" t="s">
        <v>296</v>
      </c>
      <c r="C20" s="147">
        <v>11.0</v>
      </c>
      <c r="D20" s="135"/>
      <c r="E20" s="135"/>
      <c r="F20" s="136" t="s">
        <v>412</v>
      </c>
      <c r="G20" s="135"/>
      <c r="H20" s="136" t="s">
        <v>412</v>
      </c>
      <c r="I20" s="136" t="s">
        <v>412</v>
      </c>
      <c r="J20" s="135"/>
      <c r="K20" s="135"/>
      <c r="L20" s="136" t="s">
        <v>412</v>
      </c>
      <c r="M20" s="135"/>
      <c r="N20" s="136" t="s">
        <v>412</v>
      </c>
      <c r="O20" s="135"/>
      <c r="P20" s="135"/>
      <c r="Q20" s="135"/>
      <c r="R20" s="136" t="s">
        <v>412</v>
      </c>
      <c r="S20" s="136" t="s">
        <v>412</v>
      </c>
      <c r="T20" s="135"/>
      <c r="U20" s="136" t="s">
        <v>412</v>
      </c>
      <c r="V20" s="135"/>
      <c r="W20" s="136" t="s">
        <v>412</v>
      </c>
      <c r="X20" s="135"/>
      <c r="Y20" s="135"/>
      <c r="Z20" s="136" t="s">
        <v>412</v>
      </c>
      <c r="AA20" s="135"/>
      <c r="AB20" s="136" t="s">
        <v>412</v>
      </c>
      <c r="AC20" s="135"/>
    </row>
    <row r="21">
      <c r="A21" s="91" t="s">
        <v>180</v>
      </c>
      <c r="B21" s="91" t="s">
        <v>297</v>
      </c>
      <c r="C21" s="147">
        <v>11.0</v>
      </c>
      <c r="D21" s="135"/>
      <c r="E21" s="136" t="s">
        <v>412</v>
      </c>
      <c r="F21" s="135"/>
      <c r="G21" s="136" t="s">
        <v>412</v>
      </c>
      <c r="H21" s="135"/>
      <c r="I21" s="136" t="s">
        <v>412</v>
      </c>
      <c r="J21" s="135"/>
      <c r="K21" s="135"/>
      <c r="L21" s="135"/>
      <c r="M21" s="136" t="s">
        <v>412</v>
      </c>
      <c r="N21" s="135"/>
      <c r="O21" s="135"/>
      <c r="P21" s="136" t="s">
        <v>412</v>
      </c>
      <c r="Q21" s="135"/>
      <c r="R21" s="136" t="s">
        <v>412</v>
      </c>
      <c r="S21" s="136" t="s">
        <v>412</v>
      </c>
      <c r="T21" s="135"/>
      <c r="U21" s="135"/>
      <c r="V21" s="135"/>
      <c r="W21" s="136" t="s">
        <v>412</v>
      </c>
      <c r="X21" s="135"/>
      <c r="Y21" s="136" t="s">
        <v>412</v>
      </c>
      <c r="Z21" s="135"/>
      <c r="AA21" s="136" t="s">
        <v>412</v>
      </c>
      <c r="AB21" s="135"/>
      <c r="AC21" s="136" t="s">
        <v>412</v>
      </c>
    </row>
    <row r="22">
      <c r="A22" s="91" t="s">
        <v>180</v>
      </c>
      <c r="B22" s="91" t="s">
        <v>298</v>
      </c>
      <c r="C22" s="147">
        <v>9.0</v>
      </c>
      <c r="D22" s="135"/>
      <c r="E22" s="136" t="s">
        <v>412</v>
      </c>
      <c r="F22" s="136" t="s">
        <v>412</v>
      </c>
      <c r="G22" s="135"/>
      <c r="H22" s="136" t="s">
        <v>412</v>
      </c>
      <c r="I22" s="135"/>
      <c r="J22" s="135"/>
      <c r="K22" s="136" t="s">
        <v>412</v>
      </c>
      <c r="L22" s="135"/>
      <c r="M22" s="136" t="s">
        <v>412</v>
      </c>
      <c r="N22" s="136" t="s">
        <v>412</v>
      </c>
      <c r="O22" s="136" t="s">
        <v>412</v>
      </c>
      <c r="P22" s="135"/>
      <c r="Q22" s="135"/>
      <c r="R22" s="135"/>
      <c r="S22" s="135"/>
      <c r="T22" s="135"/>
      <c r="U22" s="135"/>
      <c r="V22" s="135"/>
      <c r="W22" s="135"/>
      <c r="X22" s="136" t="s">
        <v>412</v>
      </c>
      <c r="Y22" s="135"/>
      <c r="Z22" s="135"/>
      <c r="AA22" s="136" t="s">
        <v>412</v>
      </c>
      <c r="AB22" s="135"/>
      <c r="AC22" s="135"/>
    </row>
    <row r="23">
      <c r="A23" s="91" t="s">
        <v>180</v>
      </c>
      <c r="B23" s="91" t="s">
        <v>299</v>
      </c>
      <c r="C23" s="147">
        <v>6.0</v>
      </c>
      <c r="D23" s="135"/>
      <c r="E23" s="135"/>
      <c r="F23" s="135"/>
      <c r="G23" s="135"/>
      <c r="H23" s="135"/>
      <c r="I23" s="135"/>
      <c r="J23" s="135"/>
      <c r="K23" s="135"/>
      <c r="L23" s="135"/>
      <c r="M23" s="135"/>
      <c r="N23" s="135"/>
      <c r="O23" s="136" t="s">
        <v>412</v>
      </c>
      <c r="P23" s="136" t="s">
        <v>412</v>
      </c>
      <c r="Q23" s="135"/>
      <c r="R23" s="135"/>
      <c r="S23" s="135"/>
      <c r="T23" s="136" t="s">
        <v>412</v>
      </c>
      <c r="U23" s="135"/>
      <c r="V23" s="136" t="s">
        <v>412</v>
      </c>
      <c r="W23" s="135"/>
      <c r="X23" s="135"/>
      <c r="Y23" s="136" t="s">
        <v>412</v>
      </c>
      <c r="Z23" s="135"/>
      <c r="AA23" s="135"/>
      <c r="AB23" s="135"/>
      <c r="AC23" s="136" t="s">
        <v>412</v>
      </c>
    </row>
    <row r="24">
      <c r="A24" s="91" t="s">
        <v>180</v>
      </c>
      <c r="B24" s="91" t="s">
        <v>300</v>
      </c>
      <c r="C24" s="147">
        <v>2.0</v>
      </c>
      <c r="D24" s="135"/>
      <c r="E24" s="135"/>
      <c r="F24" s="135"/>
      <c r="G24" s="135"/>
      <c r="H24" s="135"/>
      <c r="I24" s="135"/>
      <c r="J24" s="135"/>
      <c r="K24" s="135"/>
      <c r="L24" s="135"/>
      <c r="M24" s="135"/>
      <c r="N24" s="135"/>
      <c r="O24" s="135"/>
      <c r="P24" s="135"/>
      <c r="Q24" s="135"/>
      <c r="R24" s="135"/>
      <c r="S24" s="135"/>
      <c r="T24" s="135"/>
      <c r="U24" s="135"/>
      <c r="V24" s="135"/>
      <c r="W24" s="135"/>
      <c r="X24" s="136" t="s">
        <v>412</v>
      </c>
      <c r="Y24" s="135"/>
      <c r="Z24" s="136" t="s">
        <v>412</v>
      </c>
      <c r="AA24" s="135"/>
      <c r="AB24" s="135"/>
      <c r="AC24" s="135"/>
    </row>
    <row r="25">
      <c r="A25" s="91" t="s">
        <v>180</v>
      </c>
      <c r="B25" s="91" t="s">
        <v>301</v>
      </c>
      <c r="C25" s="147">
        <v>0.0</v>
      </c>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row>
    <row r="26">
      <c r="A26" s="91" t="s">
        <v>303</v>
      </c>
      <c r="B26" s="91" t="s">
        <v>304</v>
      </c>
      <c r="C26" s="147">
        <v>13.0</v>
      </c>
      <c r="D26" s="135"/>
      <c r="E26" s="136" t="s">
        <v>412</v>
      </c>
      <c r="F26" s="136" t="s">
        <v>412</v>
      </c>
      <c r="G26" s="135"/>
      <c r="H26" s="136" t="s">
        <v>412</v>
      </c>
      <c r="I26" s="136" t="s">
        <v>412</v>
      </c>
      <c r="J26" s="136" t="s">
        <v>412</v>
      </c>
      <c r="K26" s="136" t="s">
        <v>412</v>
      </c>
      <c r="L26" s="135"/>
      <c r="M26" s="135"/>
      <c r="N26" s="135"/>
      <c r="O26" s="136" t="s">
        <v>412</v>
      </c>
      <c r="P26" s="135"/>
      <c r="Q26" s="136" t="s">
        <v>412</v>
      </c>
      <c r="R26" s="136" t="s">
        <v>412</v>
      </c>
      <c r="S26" s="135"/>
      <c r="T26" s="135"/>
      <c r="U26" s="135"/>
      <c r="V26" s="136" t="s">
        <v>412</v>
      </c>
      <c r="W26" s="135"/>
      <c r="X26" s="136" t="s">
        <v>412</v>
      </c>
      <c r="Y26" s="135"/>
      <c r="Z26" s="136" t="s">
        <v>412</v>
      </c>
      <c r="AA26" s="135"/>
      <c r="AB26" s="135"/>
      <c r="AC26" s="136" t="s">
        <v>412</v>
      </c>
    </row>
    <row r="27">
      <c r="A27" s="91" t="s">
        <v>303</v>
      </c>
      <c r="B27" s="91" t="s">
        <v>305</v>
      </c>
      <c r="C27" s="147">
        <v>13.0</v>
      </c>
      <c r="D27" s="135"/>
      <c r="E27" s="136" t="s">
        <v>412</v>
      </c>
      <c r="F27" s="136" t="s">
        <v>412</v>
      </c>
      <c r="G27" s="135"/>
      <c r="H27" s="135"/>
      <c r="I27" s="135"/>
      <c r="J27" s="136" t="s">
        <v>412</v>
      </c>
      <c r="K27" s="136" t="s">
        <v>412</v>
      </c>
      <c r="L27" s="136" t="s">
        <v>412</v>
      </c>
      <c r="M27" s="136" t="s">
        <v>412</v>
      </c>
      <c r="N27" s="135"/>
      <c r="O27" s="136" t="s">
        <v>412</v>
      </c>
      <c r="P27" s="136" t="s">
        <v>412</v>
      </c>
      <c r="Q27" s="136" t="s">
        <v>412</v>
      </c>
      <c r="R27" s="135"/>
      <c r="S27" s="135"/>
      <c r="T27" s="135"/>
      <c r="U27" s="136" t="s">
        <v>412</v>
      </c>
      <c r="V27" s="136" t="s">
        <v>412</v>
      </c>
      <c r="W27" s="135"/>
      <c r="X27" s="136" t="s">
        <v>412</v>
      </c>
      <c r="Y27" s="135"/>
      <c r="Z27" s="135"/>
      <c r="AA27" s="135"/>
      <c r="AB27" s="136" t="s">
        <v>412</v>
      </c>
      <c r="AC27" s="135"/>
    </row>
    <row r="28">
      <c r="A28" s="91" t="s">
        <v>303</v>
      </c>
      <c r="B28" s="91" t="s">
        <v>306</v>
      </c>
      <c r="C28" s="147">
        <v>13.0</v>
      </c>
      <c r="D28" s="135"/>
      <c r="E28" s="136" t="s">
        <v>412</v>
      </c>
      <c r="F28" s="136" t="s">
        <v>412</v>
      </c>
      <c r="G28" s="136" t="s">
        <v>412</v>
      </c>
      <c r="H28" s="135"/>
      <c r="I28" s="136" t="s">
        <v>412</v>
      </c>
      <c r="J28" s="136" t="s">
        <v>412</v>
      </c>
      <c r="K28" s="136" t="s">
        <v>412</v>
      </c>
      <c r="L28" s="135"/>
      <c r="M28" s="135"/>
      <c r="N28" s="136" t="s">
        <v>412</v>
      </c>
      <c r="O28" s="135"/>
      <c r="P28" s="135"/>
      <c r="Q28" s="136" t="s">
        <v>412</v>
      </c>
      <c r="R28" s="136" t="s">
        <v>412</v>
      </c>
      <c r="S28" s="136" t="s">
        <v>412</v>
      </c>
      <c r="T28" s="135"/>
      <c r="U28" s="136" t="s">
        <v>412</v>
      </c>
      <c r="V28" s="135"/>
      <c r="W28" s="135"/>
      <c r="X28" s="135"/>
      <c r="Y28" s="135"/>
      <c r="Z28" s="135"/>
      <c r="AA28" s="136" t="s">
        <v>412</v>
      </c>
      <c r="AB28" s="135"/>
      <c r="AC28" s="136" t="s">
        <v>412</v>
      </c>
    </row>
    <row r="29">
      <c r="A29" s="91" t="s">
        <v>303</v>
      </c>
      <c r="B29" s="91" t="s">
        <v>307</v>
      </c>
      <c r="C29" s="147">
        <v>12.0</v>
      </c>
      <c r="D29" s="135"/>
      <c r="E29" s="135"/>
      <c r="F29" s="136" t="s">
        <v>412</v>
      </c>
      <c r="G29" s="136" t="s">
        <v>412</v>
      </c>
      <c r="H29" s="136" t="s">
        <v>412</v>
      </c>
      <c r="I29" s="136" t="s">
        <v>412</v>
      </c>
      <c r="J29" s="135"/>
      <c r="K29" s="135"/>
      <c r="L29" s="135"/>
      <c r="M29" s="135"/>
      <c r="N29" s="136" t="s">
        <v>412</v>
      </c>
      <c r="O29" s="136" t="s">
        <v>412</v>
      </c>
      <c r="P29" s="135"/>
      <c r="Q29" s="136" t="s">
        <v>412</v>
      </c>
      <c r="R29" s="135"/>
      <c r="S29" s="135"/>
      <c r="T29" s="136" t="s">
        <v>412</v>
      </c>
      <c r="U29" s="135"/>
      <c r="V29" s="136" t="s">
        <v>412</v>
      </c>
      <c r="W29" s="136" t="s">
        <v>412</v>
      </c>
      <c r="X29" s="135"/>
      <c r="Y29" s="135"/>
      <c r="Z29" s="136" t="s">
        <v>412</v>
      </c>
      <c r="AA29" s="135"/>
      <c r="AB29" s="135"/>
      <c r="AC29" s="136" t="s">
        <v>412</v>
      </c>
    </row>
    <row r="30">
      <c r="A30" s="91" t="s">
        <v>303</v>
      </c>
      <c r="B30" s="91" t="s">
        <v>308</v>
      </c>
      <c r="C30" s="147">
        <v>12.0</v>
      </c>
      <c r="D30" s="135"/>
      <c r="E30" s="135"/>
      <c r="F30" s="136" t="s">
        <v>412</v>
      </c>
      <c r="G30" s="135"/>
      <c r="H30" s="135"/>
      <c r="I30" s="136" t="s">
        <v>412</v>
      </c>
      <c r="J30" s="136" t="s">
        <v>412</v>
      </c>
      <c r="K30" s="135"/>
      <c r="L30" s="136" t="s">
        <v>412</v>
      </c>
      <c r="M30" s="135"/>
      <c r="N30" s="136" t="s">
        <v>412</v>
      </c>
      <c r="O30" s="135"/>
      <c r="P30" s="136" t="s">
        <v>412</v>
      </c>
      <c r="Q30" s="136" t="s">
        <v>412</v>
      </c>
      <c r="R30" s="135"/>
      <c r="S30" s="136" t="s">
        <v>412</v>
      </c>
      <c r="T30" s="135"/>
      <c r="U30" s="135"/>
      <c r="V30" s="135"/>
      <c r="W30" s="136" t="s">
        <v>412</v>
      </c>
      <c r="X30" s="136" t="s">
        <v>412</v>
      </c>
      <c r="Y30" s="135"/>
      <c r="Z30" s="135"/>
      <c r="AA30" s="135"/>
      <c r="AB30" s="136" t="s">
        <v>412</v>
      </c>
      <c r="AC30" s="136" t="s">
        <v>412</v>
      </c>
    </row>
    <row r="31">
      <c r="A31" s="91" t="s">
        <v>303</v>
      </c>
      <c r="B31" s="91" t="s">
        <v>309</v>
      </c>
      <c r="C31" s="147">
        <v>11.0</v>
      </c>
      <c r="D31" s="135"/>
      <c r="E31" s="136" t="s">
        <v>412</v>
      </c>
      <c r="F31" s="135"/>
      <c r="G31" s="136" t="s">
        <v>412</v>
      </c>
      <c r="H31" s="135"/>
      <c r="I31" s="135"/>
      <c r="J31" s="135"/>
      <c r="K31" s="136" t="s">
        <v>412</v>
      </c>
      <c r="L31" s="136" t="s">
        <v>412</v>
      </c>
      <c r="M31" s="135"/>
      <c r="N31" s="135"/>
      <c r="O31" s="135"/>
      <c r="P31" s="135"/>
      <c r="Q31" s="136" t="s">
        <v>412</v>
      </c>
      <c r="R31" s="136" t="s">
        <v>412</v>
      </c>
      <c r="S31" s="136" t="s">
        <v>412</v>
      </c>
      <c r="T31" s="135"/>
      <c r="U31" s="135"/>
      <c r="V31" s="135"/>
      <c r="W31" s="136" t="s">
        <v>412</v>
      </c>
      <c r="X31" s="135"/>
      <c r="Y31" s="136" t="s">
        <v>412</v>
      </c>
      <c r="Z31" s="136" t="s">
        <v>412</v>
      </c>
      <c r="AA31" s="135"/>
      <c r="AB31" s="136" t="s">
        <v>412</v>
      </c>
      <c r="AC31" s="135"/>
    </row>
    <row r="32">
      <c r="A32" s="91" t="s">
        <v>303</v>
      </c>
      <c r="B32" s="91" t="s">
        <v>310</v>
      </c>
      <c r="C32" s="147">
        <v>11.0</v>
      </c>
      <c r="D32" s="135"/>
      <c r="E32" s="135"/>
      <c r="F32" s="135"/>
      <c r="G32" s="135"/>
      <c r="H32" s="135"/>
      <c r="I32" s="136" t="s">
        <v>412</v>
      </c>
      <c r="J32" s="136" t="s">
        <v>412</v>
      </c>
      <c r="K32" s="136" t="s">
        <v>412</v>
      </c>
      <c r="L32" s="135"/>
      <c r="M32" s="135"/>
      <c r="N32" s="136" t="s">
        <v>412</v>
      </c>
      <c r="O32" s="135"/>
      <c r="P32" s="136" t="s">
        <v>412</v>
      </c>
      <c r="Q32" s="136" t="s">
        <v>412</v>
      </c>
      <c r="R32" s="135"/>
      <c r="S32" s="135"/>
      <c r="T32" s="135"/>
      <c r="U32" s="136" t="s">
        <v>412</v>
      </c>
      <c r="V32" s="136" t="s">
        <v>412</v>
      </c>
      <c r="W32" s="135"/>
      <c r="X32" s="136" t="s">
        <v>412</v>
      </c>
      <c r="Y32" s="136" t="s">
        <v>412</v>
      </c>
      <c r="Z32" s="135"/>
      <c r="AA32" s="135"/>
      <c r="AB32" s="136" t="s">
        <v>412</v>
      </c>
      <c r="AC32" s="135"/>
    </row>
    <row r="33">
      <c r="A33" s="91" t="s">
        <v>303</v>
      </c>
      <c r="B33" s="91" t="s">
        <v>311</v>
      </c>
      <c r="C33" s="147">
        <v>10.0</v>
      </c>
      <c r="D33" s="135"/>
      <c r="E33" s="135"/>
      <c r="F33" s="135"/>
      <c r="G33" s="136" t="s">
        <v>412</v>
      </c>
      <c r="H33" s="135"/>
      <c r="I33" s="136" t="s">
        <v>412</v>
      </c>
      <c r="J33" s="136" t="s">
        <v>412</v>
      </c>
      <c r="K33" s="135"/>
      <c r="L33" s="136" t="s">
        <v>412</v>
      </c>
      <c r="M33" s="135"/>
      <c r="N33" s="135"/>
      <c r="O33" s="135"/>
      <c r="P33" s="136" t="s">
        <v>412</v>
      </c>
      <c r="Q33" s="136" t="s">
        <v>412</v>
      </c>
      <c r="R33" s="136" t="s">
        <v>412</v>
      </c>
      <c r="S33" s="135"/>
      <c r="T33" s="135"/>
      <c r="U33" s="135"/>
      <c r="V33" s="136" t="s">
        <v>412</v>
      </c>
      <c r="W33" s="135"/>
      <c r="X33" s="135"/>
      <c r="Y33" s="136" t="s">
        <v>412</v>
      </c>
      <c r="Z33" s="135"/>
      <c r="AA33" s="135"/>
      <c r="AB33" s="136" t="s">
        <v>412</v>
      </c>
      <c r="AC33" s="135"/>
    </row>
    <row r="34">
      <c r="A34" s="91" t="s">
        <v>303</v>
      </c>
      <c r="B34" s="91" t="s">
        <v>312</v>
      </c>
      <c r="C34" s="147">
        <v>10.0</v>
      </c>
      <c r="D34" s="135"/>
      <c r="E34" s="135"/>
      <c r="F34" s="135"/>
      <c r="G34" s="135"/>
      <c r="H34" s="136" t="s">
        <v>412</v>
      </c>
      <c r="I34" s="135"/>
      <c r="J34" s="136" t="s">
        <v>412</v>
      </c>
      <c r="K34" s="136" t="s">
        <v>412</v>
      </c>
      <c r="L34" s="135"/>
      <c r="M34" s="135"/>
      <c r="N34" s="135"/>
      <c r="O34" s="136" t="s">
        <v>412</v>
      </c>
      <c r="P34" s="135"/>
      <c r="Q34" s="136" t="s">
        <v>412</v>
      </c>
      <c r="R34" s="136" t="s">
        <v>412</v>
      </c>
      <c r="S34" s="135"/>
      <c r="T34" s="135"/>
      <c r="U34" s="135"/>
      <c r="V34" s="136" t="s">
        <v>412</v>
      </c>
      <c r="W34" s="135"/>
      <c r="X34" s="135"/>
      <c r="Y34" s="136" t="s">
        <v>412</v>
      </c>
      <c r="Z34" s="136" t="s">
        <v>412</v>
      </c>
      <c r="AA34" s="135"/>
      <c r="AB34" s="136" t="s">
        <v>412</v>
      </c>
      <c r="AC34" s="135"/>
    </row>
    <row r="35">
      <c r="A35" s="91" t="s">
        <v>303</v>
      </c>
      <c r="B35" s="91" t="s">
        <v>314</v>
      </c>
      <c r="C35" s="147">
        <v>9.0</v>
      </c>
      <c r="D35" s="135"/>
      <c r="E35" s="135"/>
      <c r="F35" s="135"/>
      <c r="G35" s="136" t="s">
        <v>412</v>
      </c>
      <c r="H35" s="136" t="s">
        <v>412</v>
      </c>
      <c r="I35" s="136" t="s">
        <v>412</v>
      </c>
      <c r="J35" s="136" t="s">
        <v>412</v>
      </c>
      <c r="K35" s="136" t="s">
        <v>412</v>
      </c>
      <c r="L35" s="135"/>
      <c r="M35" s="135"/>
      <c r="N35" s="135"/>
      <c r="O35" s="135"/>
      <c r="P35" s="135"/>
      <c r="Q35" s="135"/>
      <c r="R35" s="135"/>
      <c r="S35" s="136" t="s">
        <v>412</v>
      </c>
      <c r="T35" s="136" t="s">
        <v>412</v>
      </c>
      <c r="U35" s="135"/>
      <c r="V35" s="135"/>
      <c r="W35" s="135"/>
      <c r="X35" s="136" t="s">
        <v>412</v>
      </c>
      <c r="Y35" s="135"/>
      <c r="Z35" s="135"/>
      <c r="AA35" s="135"/>
      <c r="AB35" s="135"/>
      <c r="AC35" s="136" t="s">
        <v>412</v>
      </c>
    </row>
    <row r="36">
      <c r="A36" s="91" t="s">
        <v>200</v>
      </c>
      <c r="B36" s="91" t="s">
        <v>315</v>
      </c>
      <c r="C36" s="147">
        <v>15.0</v>
      </c>
      <c r="D36" s="135"/>
      <c r="E36" s="136" t="s">
        <v>412</v>
      </c>
      <c r="F36" s="136" t="s">
        <v>412</v>
      </c>
      <c r="G36" s="136" t="s">
        <v>412</v>
      </c>
      <c r="H36" s="136" t="s">
        <v>412</v>
      </c>
      <c r="I36" s="136" t="s">
        <v>412</v>
      </c>
      <c r="J36" s="136" t="s">
        <v>412</v>
      </c>
      <c r="K36" s="135"/>
      <c r="L36" s="136" t="s">
        <v>412</v>
      </c>
      <c r="M36" s="136" t="s">
        <v>412</v>
      </c>
      <c r="N36" s="135"/>
      <c r="O36" s="136" t="s">
        <v>412</v>
      </c>
      <c r="P36" s="136" t="s">
        <v>412</v>
      </c>
      <c r="Q36" s="136" t="s">
        <v>412</v>
      </c>
      <c r="R36" s="135"/>
      <c r="S36" s="135"/>
      <c r="T36" s="136" t="s">
        <v>412</v>
      </c>
      <c r="U36" s="135"/>
      <c r="V36" s="136" t="s">
        <v>412</v>
      </c>
      <c r="W36" s="135"/>
      <c r="X36" s="135"/>
      <c r="Y36" s="136" t="s">
        <v>412</v>
      </c>
      <c r="Z36" s="135"/>
      <c r="AA36" s="135"/>
      <c r="AB36" s="136" t="s">
        <v>412</v>
      </c>
      <c r="AC36" s="135"/>
    </row>
    <row r="37">
      <c r="A37" s="91" t="s">
        <v>200</v>
      </c>
      <c r="B37" s="91" t="s">
        <v>316</v>
      </c>
      <c r="C37" s="147">
        <v>14.0</v>
      </c>
      <c r="D37" s="135"/>
      <c r="E37" s="136" t="s">
        <v>412</v>
      </c>
      <c r="F37" s="135"/>
      <c r="G37" s="136" t="s">
        <v>412</v>
      </c>
      <c r="H37" s="136" t="s">
        <v>412</v>
      </c>
      <c r="I37" s="135"/>
      <c r="J37" s="136" t="s">
        <v>412</v>
      </c>
      <c r="K37" s="136" t="s">
        <v>412</v>
      </c>
      <c r="L37" s="135"/>
      <c r="M37" s="136" t="s">
        <v>412</v>
      </c>
      <c r="N37" s="136" t="s">
        <v>412</v>
      </c>
      <c r="O37" s="135"/>
      <c r="P37" s="136" t="s">
        <v>412</v>
      </c>
      <c r="Q37" s="135"/>
      <c r="R37" s="136" t="s">
        <v>412</v>
      </c>
      <c r="S37" s="136" t="s">
        <v>412</v>
      </c>
      <c r="T37" s="135"/>
      <c r="U37" s="135"/>
      <c r="V37" s="135"/>
      <c r="W37" s="136" t="s">
        <v>412</v>
      </c>
      <c r="X37" s="135"/>
      <c r="Y37" s="136" t="s">
        <v>412</v>
      </c>
      <c r="Z37" s="135"/>
      <c r="AA37" s="135"/>
      <c r="AB37" s="136" t="s">
        <v>412</v>
      </c>
      <c r="AC37" s="136" t="s">
        <v>412</v>
      </c>
    </row>
    <row r="38">
      <c r="A38" s="91" t="s">
        <v>200</v>
      </c>
      <c r="B38" s="91" t="s">
        <v>317</v>
      </c>
      <c r="C38" s="147">
        <v>13.0</v>
      </c>
      <c r="D38" s="135"/>
      <c r="E38" s="136" t="s">
        <v>412</v>
      </c>
      <c r="F38" s="136" t="s">
        <v>412</v>
      </c>
      <c r="G38" s="135"/>
      <c r="H38" s="136" t="s">
        <v>412</v>
      </c>
      <c r="I38" s="136" t="s">
        <v>412</v>
      </c>
      <c r="J38" s="135"/>
      <c r="K38" s="135"/>
      <c r="L38" s="136" t="s">
        <v>412</v>
      </c>
      <c r="M38" s="135"/>
      <c r="N38" s="136" t="s">
        <v>412</v>
      </c>
      <c r="O38" s="135"/>
      <c r="P38" s="135"/>
      <c r="Q38" s="136" t="s">
        <v>412</v>
      </c>
      <c r="R38" s="135"/>
      <c r="S38" s="136" t="s">
        <v>412</v>
      </c>
      <c r="T38" s="135"/>
      <c r="U38" s="136" t="s">
        <v>412</v>
      </c>
      <c r="V38" s="135"/>
      <c r="W38" s="135"/>
      <c r="X38" s="136" t="s">
        <v>412</v>
      </c>
      <c r="Y38" s="135"/>
      <c r="Z38" s="136" t="s">
        <v>412</v>
      </c>
      <c r="AA38" s="136" t="s">
        <v>412</v>
      </c>
      <c r="AB38" s="135"/>
      <c r="AC38" s="136" t="s">
        <v>412</v>
      </c>
    </row>
    <row r="39">
      <c r="A39" s="91" t="s">
        <v>200</v>
      </c>
      <c r="B39" s="91" t="s">
        <v>318</v>
      </c>
      <c r="C39" s="147">
        <v>12.0</v>
      </c>
      <c r="D39" s="135"/>
      <c r="E39" s="135"/>
      <c r="F39" s="135"/>
      <c r="G39" s="136" t="s">
        <v>412</v>
      </c>
      <c r="H39" s="136" t="s">
        <v>412</v>
      </c>
      <c r="I39" s="136" t="s">
        <v>412</v>
      </c>
      <c r="J39" s="136" t="s">
        <v>412</v>
      </c>
      <c r="K39" s="136" t="s">
        <v>412</v>
      </c>
      <c r="L39" s="135"/>
      <c r="M39" s="135"/>
      <c r="N39" s="136" t="s">
        <v>412</v>
      </c>
      <c r="O39" s="136" t="s">
        <v>412</v>
      </c>
      <c r="P39" s="135"/>
      <c r="Q39" s="135"/>
      <c r="R39" s="136" t="s">
        <v>412</v>
      </c>
      <c r="S39" s="135"/>
      <c r="T39" s="135"/>
      <c r="U39" s="136" t="s">
        <v>412</v>
      </c>
      <c r="V39" s="136" t="s">
        <v>412</v>
      </c>
      <c r="W39" s="135"/>
      <c r="X39" s="135"/>
      <c r="Y39" s="135"/>
      <c r="Z39" s="135"/>
      <c r="AA39" s="136" t="s">
        <v>412</v>
      </c>
      <c r="AB39" s="136" t="s">
        <v>412</v>
      </c>
      <c r="AC39" s="135"/>
    </row>
    <row r="40">
      <c r="A40" s="91" t="s">
        <v>200</v>
      </c>
      <c r="B40" s="91" t="s">
        <v>319</v>
      </c>
      <c r="C40" s="147">
        <v>8.0</v>
      </c>
      <c r="D40" s="135"/>
      <c r="E40" s="135"/>
      <c r="F40" s="135"/>
      <c r="G40" s="135"/>
      <c r="H40" s="135"/>
      <c r="I40" s="136" t="s">
        <v>412</v>
      </c>
      <c r="J40" s="136" t="s">
        <v>412</v>
      </c>
      <c r="K40" s="135"/>
      <c r="L40" s="136" t="s">
        <v>412</v>
      </c>
      <c r="M40" s="135"/>
      <c r="N40" s="136" t="s">
        <v>412</v>
      </c>
      <c r="O40" s="136" t="s">
        <v>412</v>
      </c>
      <c r="P40" s="135"/>
      <c r="Q40" s="135"/>
      <c r="R40" s="135"/>
      <c r="S40" s="135"/>
      <c r="T40" s="136" t="s">
        <v>412</v>
      </c>
      <c r="U40" s="135"/>
      <c r="V40" s="136" t="s">
        <v>412</v>
      </c>
      <c r="W40" s="136" t="s">
        <v>412</v>
      </c>
      <c r="X40" s="135"/>
      <c r="Y40" s="135"/>
      <c r="Z40" s="135"/>
      <c r="AA40" s="135"/>
      <c r="AB40" s="135"/>
      <c r="AC40" s="135"/>
    </row>
    <row r="41">
      <c r="A41" s="91" t="s">
        <v>200</v>
      </c>
      <c r="B41" s="91" t="s">
        <v>320</v>
      </c>
      <c r="C41" s="147">
        <v>3.0</v>
      </c>
      <c r="D41" s="135"/>
      <c r="E41" s="135"/>
      <c r="F41" s="135"/>
      <c r="G41" s="135"/>
      <c r="H41" s="135"/>
      <c r="I41" s="135"/>
      <c r="J41" s="135"/>
      <c r="K41" s="135"/>
      <c r="L41" s="135"/>
      <c r="M41" s="135"/>
      <c r="N41" s="135"/>
      <c r="O41" s="135"/>
      <c r="P41" s="135"/>
      <c r="Q41" s="135"/>
      <c r="R41" s="135"/>
      <c r="S41" s="135"/>
      <c r="T41" s="135"/>
      <c r="U41" s="135"/>
      <c r="V41" s="135"/>
      <c r="W41" s="136" t="s">
        <v>412</v>
      </c>
      <c r="X41" s="136" t="s">
        <v>412</v>
      </c>
      <c r="Y41" s="135"/>
      <c r="Z41" s="136" t="s">
        <v>412</v>
      </c>
      <c r="AA41" s="135"/>
      <c r="AB41" s="135"/>
      <c r="AC41" s="135"/>
    </row>
    <row r="42">
      <c r="A42" s="91" t="s">
        <v>200</v>
      </c>
      <c r="B42" s="91" t="s">
        <v>321</v>
      </c>
      <c r="C42" s="147">
        <v>2.0</v>
      </c>
      <c r="D42" s="135"/>
      <c r="E42" s="135"/>
      <c r="F42" s="135"/>
      <c r="G42" s="135"/>
      <c r="H42" s="135"/>
      <c r="I42" s="135"/>
      <c r="J42" s="135"/>
      <c r="K42" s="135"/>
      <c r="L42" s="135"/>
      <c r="M42" s="135"/>
      <c r="N42" s="135"/>
      <c r="O42" s="135"/>
      <c r="P42" s="135"/>
      <c r="Q42" s="135"/>
      <c r="R42" s="135"/>
      <c r="S42" s="135"/>
      <c r="T42" s="135"/>
      <c r="U42" s="135"/>
      <c r="V42" s="135"/>
      <c r="W42" s="135"/>
      <c r="X42" s="136" t="s">
        <v>412</v>
      </c>
      <c r="Y42" s="135"/>
      <c r="Z42" s="135"/>
      <c r="AA42" s="135"/>
      <c r="AB42" s="135"/>
      <c r="AC42" s="136" t="s">
        <v>412</v>
      </c>
    </row>
    <row r="43">
      <c r="A43" s="91" t="s">
        <v>200</v>
      </c>
      <c r="B43" s="91" t="s">
        <v>322</v>
      </c>
      <c r="C43" s="147">
        <v>1.0</v>
      </c>
      <c r="D43" s="135"/>
      <c r="E43" s="135"/>
      <c r="F43" s="135"/>
      <c r="G43" s="135"/>
      <c r="H43" s="135"/>
      <c r="I43" s="135"/>
      <c r="J43" s="135"/>
      <c r="K43" s="135"/>
      <c r="L43" s="135"/>
      <c r="M43" s="135"/>
      <c r="N43" s="135"/>
      <c r="O43" s="135"/>
      <c r="P43" s="135"/>
      <c r="Q43" s="135"/>
      <c r="R43" s="135"/>
      <c r="S43" s="135"/>
      <c r="T43" s="135"/>
      <c r="U43" s="135"/>
      <c r="V43" s="135"/>
      <c r="W43" s="135"/>
      <c r="X43" s="135"/>
      <c r="Y43" s="135"/>
      <c r="Z43" s="135"/>
      <c r="AA43" s="135"/>
      <c r="AB43" s="136" t="s">
        <v>412</v>
      </c>
      <c r="AC43" s="135"/>
    </row>
    <row r="44">
      <c r="A44" s="150" t="s">
        <v>420</v>
      </c>
      <c r="B44" s="150" t="s">
        <v>324</v>
      </c>
      <c r="C44" s="151">
        <v>23.0</v>
      </c>
      <c r="D44" s="71"/>
      <c r="E44" s="152" t="s">
        <v>412</v>
      </c>
      <c r="F44" s="152" t="s">
        <v>412</v>
      </c>
      <c r="G44" s="152" t="s">
        <v>412</v>
      </c>
      <c r="H44" s="152" t="s">
        <v>412</v>
      </c>
      <c r="I44" s="152" t="s">
        <v>412</v>
      </c>
      <c r="J44" s="152" t="s">
        <v>412</v>
      </c>
      <c r="K44" s="152" t="s">
        <v>412</v>
      </c>
      <c r="L44" s="152" t="s">
        <v>412</v>
      </c>
      <c r="M44" s="152" t="s">
        <v>412</v>
      </c>
      <c r="N44" s="152" t="s">
        <v>412</v>
      </c>
      <c r="O44" s="152" t="s">
        <v>412</v>
      </c>
      <c r="P44" s="71"/>
      <c r="Q44" s="152" t="s">
        <v>412</v>
      </c>
      <c r="R44" s="152" t="s">
        <v>412</v>
      </c>
      <c r="S44" s="71"/>
      <c r="T44" s="152" t="s">
        <v>412</v>
      </c>
      <c r="U44" s="152" t="s">
        <v>412</v>
      </c>
      <c r="V44" s="152" t="s">
        <v>412</v>
      </c>
      <c r="W44" s="152" t="s">
        <v>412</v>
      </c>
      <c r="X44" s="152" t="s">
        <v>412</v>
      </c>
      <c r="Y44" s="152" t="s">
        <v>412</v>
      </c>
      <c r="Z44" s="152" t="s">
        <v>412</v>
      </c>
      <c r="AA44" s="152" t="s">
        <v>412</v>
      </c>
      <c r="AB44" s="152" t="s">
        <v>412</v>
      </c>
      <c r="AC44" s="152" t="s">
        <v>412</v>
      </c>
    </row>
    <row r="45">
      <c r="A45" s="150" t="s">
        <v>420</v>
      </c>
      <c r="B45" s="150" t="s">
        <v>325</v>
      </c>
      <c r="C45" s="151">
        <v>20.0</v>
      </c>
      <c r="D45" s="71"/>
      <c r="E45" s="152" t="s">
        <v>412</v>
      </c>
      <c r="F45" s="152" t="s">
        <v>412</v>
      </c>
      <c r="G45" s="152" t="s">
        <v>412</v>
      </c>
      <c r="H45" s="152" t="s">
        <v>412</v>
      </c>
      <c r="I45" s="152" t="s">
        <v>412</v>
      </c>
      <c r="J45" s="152" t="s">
        <v>412</v>
      </c>
      <c r="K45" s="152" t="s">
        <v>412</v>
      </c>
      <c r="L45" s="152" t="s">
        <v>412</v>
      </c>
      <c r="M45" s="152" t="s">
        <v>412</v>
      </c>
      <c r="N45" s="152" t="s">
        <v>412</v>
      </c>
      <c r="O45" s="152" t="s">
        <v>412</v>
      </c>
      <c r="P45" s="152" t="s">
        <v>412</v>
      </c>
      <c r="Q45" s="152" t="s">
        <v>412</v>
      </c>
      <c r="R45" s="152" t="s">
        <v>412</v>
      </c>
      <c r="S45" s="71"/>
      <c r="T45" s="71"/>
      <c r="U45" s="152" t="s">
        <v>412</v>
      </c>
      <c r="V45" s="152" t="s">
        <v>412</v>
      </c>
      <c r="W45" s="71"/>
      <c r="X45" s="71"/>
      <c r="Y45" s="71"/>
      <c r="Z45" s="152" t="s">
        <v>412</v>
      </c>
      <c r="AA45" s="152" t="s">
        <v>412</v>
      </c>
      <c r="AB45" s="152" t="s">
        <v>412</v>
      </c>
      <c r="AC45" s="152" t="s">
        <v>412</v>
      </c>
    </row>
    <row r="46">
      <c r="A46" s="150" t="s">
        <v>420</v>
      </c>
      <c r="B46" s="150" t="s">
        <v>326</v>
      </c>
      <c r="C46" s="151">
        <v>15.0</v>
      </c>
      <c r="D46" s="71"/>
      <c r="E46" s="71"/>
      <c r="F46" s="152" t="s">
        <v>412</v>
      </c>
      <c r="G46" s="71"/>
      <c r="H46" s="152" t="s">
        <v>412</v>
      </c>
      <c r="I46" s="152" t="s">
        <v>412</v>
      </c>
      <c r="J46" s="152" t="s">
        <v>412</v>
      </c>
      <c r="K46" s="152" t="s">
        <v>412</v>
      </c>
      <c r="L46" s="71"/>
      <c r="M46" s="152" t="s">
        <v>412</v>
      </c>
      <c r="N46" s="152" t="s">
        <v>412</v>
      </c>
      <c r="O46" s="71"/>
      <c r="P46" s="71"/>
      <c r="Q46" s="152" t="s">
        <v>412</v>
      </c>
      <c r="R46" s="71"/>
      <c r="S46" s="152" t="s">
        <v>412</v>
      </c>
      <c r="T46" s="152" t="s">
        <v>412</v>
      </c>
      <c r="U46" s="71"/>
      <c r="V46" s="152" t="s">
        <v>412</v>
      </c>
      <c r="W46" s="152" t="s">
        <v>412</v>
      </c>
      <c r="X46" s="152" t="s">
        <v>412</v>
      </c>
      <c r="Y46" s="152" t="s">
        <v>412</v>
      </c>
      <c r="Z46" s="71"/>
      <c r="AA46" s="71"/>
      <c r="AB46" s="152" t="s">
        <v>412</v>
      </c>
      <c r="AC46" s="71"/>
    </row>
    <row r="47">
      <c r="A47" s="150" t="s">
        <v>420</v>
      </c>
      <c r="B47" s="150" t="s">
        <v>327</v>
      </c>
      <c r="C47" s="151">
        <v>13.0</v>
      </c>
      <c r="D47" s="71"/>
      <c r="E47" s="152" t="s">
        <v>412</v>
      </c>
      <c r="F47" s="152" t="s">
        <v>412</v>
      </c>
      <c r="G47" s="71"/>
      <c r="H47" s="152" t="s">
        <v>412</v>
      </c>
      <c r="I47" s="152" t="s">
        <v>412</v>
      </c>
      <c r="J47" s="152" t="s">
        <v>412</v>
      </c>
      <c r="K47" s="71"/>
      <c r="L47" s="71"/>
      <c r="M47" s="71"/>
      <c r="N47" s="71"/>
      <c r="O47" s="71"/>
      <c r="P47" s="71"/>
      <c r="Q47" s="71"/>
      <c r="R47" s="71"/>
      <c r="S47" s="71"/>
      <c r="T47" s="71"/>
      <c r="U47" s="152" t="s">
        <v>412</v>
      </c>
      <c r="V47" s="152" t="s">
        <v>412</v>
      </c>
      <c r="W47" s="152" t="s">
        <v>412</v>
      </c>
      <c r="X47" s="152" t="s">
        <v>412</v>
      </c>
      <c r="Y47" s="152" t="s">
        <v>412</v>
      </c>
      <c r="Z47" s="71"/>
      <c r="AA47" s="152" t="s">
        <v>412</v>
      </c>
      <c r="AB47" s="152" t="s">
        <v>412</v>
      </c>
      <c r="AC47" s="152" t="s">
        <v>412</v>
      </c>
    </row>
    <row r="48">
      <c r="A48" s="150" t="s">
        <v>420</v>
      </c>
      <c r="B48" s="150" t="s">
        <v>328</v>
      </c>
      <c r="C48" s="151">
        <v>10.0</v>
      </c>
      <c r="D48" s="71"/>
      <c r="E48" s="71"/>
      <c r="F48" s="152" t="s">
        <v>412</v>
      </c>
      <c r="G48" s="152" t="s">
        <v>412</v>
      </c>
      <c r="H48" s="71"/>
      <c r="I48" s="71"/>
      <c r="J48" s="71"/>
      <c r="K48" s="71"/>
      <c r="L48" s="71"/>
      <c r="M48" s="71"/>
      <c r="N48" s="152" t="s">
        <v>412</v>
      </c>
      <c r="O48" s="71"/>
      <c r="P48" s="71"/>
      <c r="Q48" s="71"/>
      <c r="R48" s="152" t="s">
        <v>412</v>
      </c>
      <c r="S48" s="71"/>
      <c r="T48" s="71"/>
      <c r="U48" s="152" t="s">
        <v>412</v>
      </c>
      <c r="V48" s="71"/>
      <c r="W48" s="71"/>
      <c r="X48" s="152" t="s">
        <v>412</v>
      </c>
      <c r="Y48" s="152" t="s">
        <v>412</v>
      </c>
      <c r="Z48" s="152" t="s">
        <v>412</v>
      </c>
      <c r="AA48" s="152" t="s">
        <v>412</v>
      </c>
      <c r="AB48" s="71"/>
      <c r="AC48" s="152" t="s">
        <v>412</v>
      </c>
    </row>
    <row r="49">
      <c r="A49" s="150" t="s">
        <v>420</v>
      </c>
      <c r="B49" s="150" t="s">
        <v>329</v>
      </c>
      <c r="C49" s="153">
        <v>10.0</v>
      </c>
      <c r="D49" s="71"/>
      <c r="E49" s="71"/>
      <c r="F49" s="71"/>
      <c r="G49" s="152" t="s">
        <v>412</v>
      </c>
      <c r="H49" s="152" t="s">
        <v>412</v>
      </c>
      <c r="I49" s="71"/>
      <c r="J49" s="71"/>
      <c r="K49" s="71"/>
      <c r="L49" s="71"/>
      <c r="M49" s="71"/>
      <c r="N49" s="71"/>
      <c r="O49" s="71"/>
      <c r="P49" s="71"/>
      <c r="Q49" s="71"/>
      <c r="R49" s="152" t="s">
        <v>412</v>
      </c>
      <c r="S49" s="152" t="s">
        <v>412</v>
      </c>
      <c r="T49" s="71"/>
      <c r="U49" s="71"/>
      <c r="V49" s="152" t="s">
        <v>412</v>
      </c>
      <c r="W49" s="152" t="s">
        <v>412</v>
      </c>
      <c r="X49" s="152" t="s">
        <v>412</v>
      </c>
      <c r="Y49" s="152" t="s">
        <v>412</v>
      </c>
      <c r="Z49" s="71"/>
      <c r="AA49" s="71"/>
      <c r="AB49" s="152" t="s">
        <v>412</v>
      </c>
      <c r="AC49" s="152" t="s">
        <v>412</v>
      </c>
    </row>
  </sheetData>
  <mergeCells count="1">
    <mergeCell ref="A1:AC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7.5"/>
  </cols>
  <sheetData>
    <row r="1">
      <c r="A1" s="154" t="s">
        <v>177</v>
      </c>
      <c r="B1" s="154" t="s">
        <v>114</v>
      </c>
      <c r="C1" s="155" t="s">
        <v>2</v>
      </c>
      <c r="D1" s="155" t="s">
        <v>3</v>
      </c>
      <c r="E1" s="156" t="s">
        <v>421</v>
      </c>
      <c r="F1" s="157" t="s">
        <v>422</v>
      </c>
      <c r="G1" s="157" t="s">
        <v>423</v>
      </c>
      <c r="H1" s="157" t="s">
        <v>424</v>
      </c>
      <c r="I1" s="157" t="s">
        <v>425</v>
      </c>
      <c r="J1" s="158" t="s">
        <v>426</v>
      </c>
    </row>
    <row r="2">
      <c r="A2" s="159" t="s">
        <v>125</v>
      </c>
      <c r="B2" s="159" t="s">
        <v>8</v>
      </c>
      <c r="C2" s="160" t="s">
        <v>229</v>
      </c>
      <c r="D2" s="160" t="s">
        <v>126</v>
      </c>
      <c r="E2" s="161" t="s">
        <v>427</v>
      </c>
      <c r="F2" s="162" t="s">
        <v>428</v>
      </c>
      <c r="G2" s="162" t="s">
        <v>429</v>
      </c>
      <c r="H2" s="162" t="s">
        <v>430</v>
      </c>
      <c r="I2" s="163">
        <v>9.78520324E8</v>
      </c>
      <c r="J2" s="164" t="s">
        <v>431</v>
      </c>
    </row>
    <row r="3">
      <c r="A3" s="159" t="s">
        <v>125</v>
      </c>
      <c r="B3" s="159" t="s">
        <v>10</v>
      </c>
      <c r="C3" s="160" t="s">
        <v>230</v>
      </c>
      <c r="D3" s="160" t="s">
        <v>126</v>
      </c>
      <c r="E3" s="161" t="s">
        <v>427</v>
      </c>
      <c r="F3" s="162" t="s">
        <v>432</v>
      </c>
      <c r="G3" s="162" t="s">
        <v>433</v>
      </c>
      <c r="H3" s="162" t="s">
        <v>434</v>
      </c>
      <c r="I3" s="163">
        <v>9.7389136E8</v>
      </c>
      <c r="J3" s="164" t="s">
        <v>431</v>
      </c>
    </row>
    <row r="4">
      <c r="A4" s="159" t="s">
        <v>125</v>
      </c>
      <c r="B4" s="159" t="s">
        <v>13</v>
      </c>
      <c r="C4" s="160" t="s">
        <v>228</v>
      </c>
      <c r="D4" s="160" t="s">
        <v>126</v>
      </c>
      <c r="E4" s="161" t="s">
        <v>427</v>
      </c>
      <c r="F4" s="162" t="s">
        <v>435</v>
      </c>
      <c r="G4" s="162" t="s">
        <v>436</v>
      </c>
      <c r="H4" s="162" t="s">
        <v>437</v>
      </c>
      <c r="I4" s="163">
        <v>9.5792124E8</v>
      </c>
      <c r="J4" s="165" t="s">
        <v>431</v>
      </c>
    </row>
    <row r="5">
      <c r="A5" s="159" t="s">
        <v>125</v>
      </c>
      <c r="B5" s="159" t="s">
        <v>17</v>
      </c>
      <c r="C5" s="160" t="s">
        <v>231</v>
      </c>
      <c r="D5" s="160" t="s">
        <v>126</v>
      </c>
      <c r="E5" s="161" t="s">
        <v>427</v>
      </c>
      <c r="F5" s="162" t="s">
        <v>435</v>
      </c>
      <c r="G5" s="162" t="s">
        <v>436</v>
      </c>
      <c r="H5" s="162" t="s">
        <v>437</v>
      </c>
      <c r="I5" s="163">
        <v>9.5792124E8</v>
      </c>
      <c r="J5" s="164" t="s">
        <v>431</v>
      </c>
    </row>
    <row r="6">
      <c r="A6" s="159" t="s">
        <v>125</v>
      </c>
      <c r="B6" s="159" t="s">
        <v>18</v>
      </c>
      <c r="C6" s="160" t="s">
        <v>236</v>
      </c>
      <c r="D6" s="160" t="s">
        <v>126</v>
      </c>
      <c r="E6" s="161" t="s">
        <v>427</v>
      </c>
      <c r="F6" s="162" t="s">
        <v>438</v>
      </c>
      <c r="G6" s="162" t="s">
        <v>439</v>
      </c>
      <c r="H6" s="162" t="s">
        <v>440</v>
      </c>
      <c r="I6" s="163">
        <v>9.30768805E8</v>
      </c>
      <c r="J6" s="164" t="s">
        <v>431</v>
      </c>
    </row>
    <row r="7">
      <c r="A7" s="159" t="s">
        <v>125</v>
      </c>
      <c r="B7" s="159" t="s">
        <v>21</v>
      </c>
      <c r="C7" s="160" t="s">
        <v>233</v>
      </c>
      <c r="D7" s="160" t="s">
        <v>126</v>
      </c>
      <c r="E7" s="161" t="s">
        <v>427</v>
      </c>
      <c r="F7" s="162" t="s">
        <v>441</v>
      </c>
      <c r="G7" s="162" t="s">
        <v>442</v>
      </c>
      <c r="H7" s="162" t="s">
        <v>443</v>
      </c>
      <c r="I7" s="163">
        <v>9.99812071E8</v>
      </c>
      <c r="J7" s="164" t="s">
        <v>431</v>
      </c>
    </row>
    <row r="8">
      <c r="A8" s="159" t="s">
        <v>125</v>
      </c>
      <c r="B8" s="159" t="s">
        <v>19</v>
      </c>
      <c r="C8" s="160" t="s">
        <v>237</v>
      </c>
      <c r="D8" s="160" t="s">
        <v>126</v>
      </c>
      <c r="E8" s="161" t="s">
        <v>427</v>
      </c>
      <c r="F8" s="162" t="s">
        <v>435</v>
      </c>
      <c r="G8" s="162" t="s">
        <v>436</v>
      </c>
      <c r="H8" s="162" t="s">
        <v>437</v>
      </c>
      <c r="I8" s="163">
        <v>9.5792124E8</v>
      </c>
      <c r="J8" s="165" t="s">
        <v>431</v>
      </c>
    </row>
    <row r="9">
      <c r="A9" s="159" t="s">
        <v>125</v>
      </c>
      <c r="B9" s="159" t="s">
        <v>23</v>
      </c>
      <c r="C9" s="160" t="s">
        <v>238</v>
      </c>
      <c r="D9" s="160" t="s">
        <v>126</v>
      </c>
      <c r="E9" s="161" t="s">
        <v>427</v>
      </c>
      <c r="F9" s="162" t="s">
        <v>444</v>
      </c>
      <c r="G9" s="162" t="s">
        <v>445</v>
      </c>
      <c r="H9" s="162" t="s">
        <v>446</v>
      </c>
      <c r="I9" s="163">
        <v>9.66053344E8</v>
      </c>
      <c r="J9" s="164" t="s">
        <v>431</v>
      </c>
    </row>
    <row r="10">
      <c r="A10" s="159" t="s">
        <v>125</v>
      </c>
      <c r="B10" s="159" t="s">
        <v>24</v>
      </c>
      <c r="C10" s="160" t="s">
        <v>234</v>
      </c>
      <c r="D10" s="160" t="s">
        <v>126</v>
      </c>
      <c r="E10" s="161" t="s">
        <v>427</v>
      </c>
      <c r="F10" s="162" t="s">
        <v>447</v>
      </c>
      <c r="G10" s="162" t="s">
        <v>448</v>
      </c>
      <c r="H10" s="162" t="s">
        <v>449</v>
      </c>
      <c r="I10" s="163">
        <v>9.85808473E8</v>
      </c>
      <c r="J10" s="164" t="s">
        <v>431</v>
      </c>
    </row>
    <row r="11">
      <c r="A11" s="166" t="s">
        <v>125</v>
      </c>
      <c r="B11" s="166" t="s">
        <v>25</v>
      </c>
      <c r="C11" s="167" t="s">
        <v>347</v>
      </c>
      <c r="D11" s="167" t="s">
        <v>126</v>
      </c>
      <c r="E11" s="168" t="s">
        <v>450</v>
      </c>
      <c r="F11" s="169" t="s">
        <v>451</v>
      </c>
      <c r="G11" s="170" t="s">
        <v>452</v>
      </c>
      <c r="H11" s="170" t="s">
        <v>453</v>
      </c>
      <c r="I11" s="171">
        <v>5.6985635643E10</v>
      </c>
      <c r="J11" s="164" t="s">
        <v>454</v>
      </c>
    </row>
    <row r="12">
      <c r="A12" s="166" t="s">
        <v>125</v>
      </c>
      <c r="B12" s="166" t="s">
        <v>26</v>
      </c>
      <c r="C12" s="172" t="s">
        <v>239</v>
      </c>
      <c r="D12" s="167" t="s">
        <v>126</v>
      </c>
      <c r="E12" s="168" t="s">
        <v>455</v>
      </c>
      <c r="F12" s="169" t="s">
        <v>456</v>
      </c>
      <c r="G12" s="169" t="s">
        <v>457</v>
      </c>
      <c r="H12" s="169" t="s">
        <v>458</v>
      </c>
      <c r="I12" s="173">
        <v>9.44416112E8</v>
      </c>
      <c r="J12" s="164" t="s">
        <v>459</v>
      </c>
    </row>
    <row r="13">
      <c r="A13" s="166" t="s">
        <v>125</v>
      </c>
      <c r="B13" s="166" t="s">
        <v>28</v>
      </c>
      <c r="C13" s="172" t="s">
        <v>232</v>
      </c>
      <c r="D13" s="167" t="s">
        <v>126</v>
      </c>
      <c r="E13" s="168" t="s">
        <v>455</v>
      </c>
      <c r="F13" s="169" t="s">
        <v>456</v>
      </c>
      <c r="G13" s="169" t="s">
        <v>457</v>
      </c>
      <c r="H13" s="169" t="s">
        <v>458</v>
      </c>
      <c r="I13" s="173">
        <v>9.44416112E8</v>
      </c>
      <c r="J13" s="164" t="s">
        <v>459</v>
      </c>
    </row>
    <row r="14">
      <c r="A14" s="159" t="s">
        <v>125</v>
      </c>
      <c r="B14" s="159" t="s">
        <v>30</v>
      </c>
      <c r="C14" s="160" t="s">
        <v>235</v>
      </c>
      <c r="D14" s="160" t="s">
        <v>126</v>
      </c>
      <c r="E14" s="161" t="s">
        <v>427</v>
      </c>
      <c r="F14" s="162" t="s">
        <v>460</v>
      </c>
      <c r="G14" s="162" t="s">
        <v>461</v>
      </c>
      <c r="H14" s="162" t="s">
        <v>462</v>
      </c>
      <c r="I14" s="163">
        <v>9.22374069E8</v>
      </c>
      <c r="J14" s="164" t="s">
        <v>431</v>
      </c>
    </row>
    <row r="15">
      <c r="A15" s="159" t="s">
        <v>134</v>
      </c>
      <c r="B15" s="159" t="s">
        <v>31</v>
      </c>
      <c r="C15" s="160" t="s">
        <v>245</v>
      </c>
      <c r="D15" s="160" t="s">
        <v>126</v>
      </c>
      <c r="E15" s="161" t="s">
        <v>427</v>
      </c>
      <c r="F15" s="162" t="s">
        <v>463</v>
      </c>
      <c r="G15" s="162" t="s">
        <v>464</v>
      </c>
      <c r="H15" s="162" t="s">
        <v>465</v>
      </c>
      <c r="I15" s="163">
        <v>9.40811194E8</v>
      </c>
      <c r="J15" s="164" t="s">
        <v>431</v>
      </c>
    </row>
    <row r="16">
      <c r="A16" s="166" t="s">
        <v>134</v>
      </c>
      <c r="B16" s="166" t="s">
        <v>135</v>
      </c>
      <c r="C16" s="167" t="s">
        <v>252</v>
      </c>
      <c r="D16" s="167" t="s">
        <v>126</v>
      </c>
      <c r="E16" s="168" t="s">
        <v>450</v>
      </c>
      <c r="F16" s="169" t="s">
        <v>463</v>
      </c>
      <c r="G16" s="169" t="s">
        <v>464</v>
      </c>
      <c r="H16" s="169" t="s">
        <v>465</v>
      </c>
      <c r="I16" s="173">
        <v>9.40811194E8</v>
      </c>
      <c r="J16" s="164" t="s">
        <v>466</v>
      </c>
    </row>
    <row r="17">
      <c r="A17" s="159" t="s">
        <v>134</v>
      </c>
      <c r="B17" s="159" t="s">
        <v>37</v>
      </c>
      <c r="C17" s="160" t="s">
        <v>243</v>
      </c>
      <c r="D17" s="160" t="s">
        <v>126</v>
      </c>
      <c r="E17" s="161" t="s">
        <v>427</v>
      </c>
      <c r="F17" s="162" t="s">
        <v>467</v>
      </c>
      <c r="G17" s="162" t="s">
        <v>468</v>
      </c>
      <c r="H17" s="162" t="s">
        <v>469</v>
      </c>
      <c r="I17" s="163">
        <v>9.89373322E8</v>
      </c>
      <c r="J17" s="164" t="s">
        <v>431</v>
      </c>
    </row>
    <row r="18">
      <c r="A18" s="159" t="s">
        <v>134</v>
      </c>
      <c r="B18" s="159" t="s">
        <v>36</v>
      </c>
      <c r="C18" s="160" t="s">
        <v>470</v>
      </c>
      <c r="D18" s="160" t="s">
        <v>126</v>
      </c>
      <c r="E18" s="161" t="s">
        <v>427</v>
      </c>
      <c r="F18" s="162" t="s">
        <v>471</v>
      </c>
      <c r="G18" s="162" t="s">
        <v>472</v>
      </c>
      <c r="H18" s="162" t="s">
        <v>473</v>
      </c>
      <c r="I18" s="163">
        <v>9.5716873E8</v>
      </c>
      <c r="J18" s="164" t="s">
        <v>431</v>
      </c>
    </row>
    <row r="19">
      <c r="A19" s="174" t="s">
        <v>134</v>
      </c>
      <c r="B19" s="174" t="s">
        <v>43</v>
      </c>
      <c r="C19" s="175" t="s">
        <v>474</v>
      </c>
      <c r="D19" s="175" t="s">
        <v>475</v>
      </c>
      <c r="E19" s="176" t="s">
        <v>427</v>
      </c>
      <c r="F19" s="177" t="s">
        <v>476</v>
      </c>
      <c r="G19" s="177" t="s">
        <v>477</v>
      </c>
      <c r="H19" s="177" t="s">
        <v>478</v>
      </c>
      <c r="I19" s="178">
        <v>9.91214673E8</v>
      </c>
      <c r="J19" s="164" t="s">
        <v>479</v>
      </c>
    </row>
    <row r="20">
      <c r="A20" s="159" t="s">
        <v>134</v>
      </c>
      <c r="B20" s="159" t="s">
        <v>39</v>
      </c>
      <c r="C20" s="160" t="s">
        <v>250</v>
      </c>
      <c r="D20" s="160" t="s">
        <v>126</v>
      </c>
      <c r="E20" s="161" t="s">
        <v>427</v>
      </c>
      <c r="F20" s="162" t="s">
        <v>480</v>
      </c>
      <c r="G20" s="162" t="s">
        <v>481</v>
      </c>
      <c r="H20" s="162" t="s">
        <v>482</v>
      </c>
      <c r="I20" s="163">
        <v>9.82085933E8</v>
      </c>
      <c r="J20" s="164" t="s">
        <v>431</v>
      </c>
    </row>
    <row r="21">
      <c r="A21" s="159" t="s">
        <v>134</v>
      </c>
      <c r="B21" s="159" t="s">
        <v>42</v>
      </c>
      <c r="C21" s="160" t="s">
        <v>246</v>
      </c>
      <c r="D21" s="160" t="s">
        <v>126</v>
      </c>
      <c r="E21" s="161" t="s">
        <v>427</v>
      </c>
      <c r="F21" s="162" t="s">
        <v>483</v>
      </c>
      <c r="G21" s="162" t="s">
        <v>484</v>
      </c>
      <c r="H21" s="162" t="s">
        <v>485</v>
      </c>
      <c r="I21" s="163">
        <v>9.49963362E8</v>
      </c>
      <c r="J21" s="164" t="s">
        <v>431</v>
      </c>
    </row>
    <row r="22">
      <c r="A22" s="159" t="s">
        <v>134</v>
      </c>
      <c r="B22" s="159" t="s">
        <v>41</v>
      </c>
      <c r="C22" s="160" t="s">
        <v>242</v>
      </c>
      <c r="D22" s="160" t="s">
        <v>126</v>
      </c>
      <c r="E22" s="161" t="s">
        <v>427</v>
      </c>
      <c r="F22" s="162" t="s">
        <v>486</v>
      </c>
      <c r="G22" s="162" t="s">
        <v>487</v>
      </c>
      <c r="H22" s="162" t="s">
        <v>488</v>
      </c>
      <c r="I22" s="163">
        <v>9.83918557E8</v>
      </c>
      <c r="J22" s="164" t="s">
        <v>431</v>
      </c>
    </row>
    <row r="23">
      <c r="A23" s="159" t="s">
        <v>134</v>
      </c>
      <c r="B23" s="159" t="s">
        <v>35</v>
      </c>
      <c r="C23" s="160" t="s">
        <v>241</v>
      </c>
      <c r="D23" s="160" t="s">
        <v>126</v>
      </c>
      <c r="E23" s="161" t="s">
        <v>427</v>
      </c>
      <c r="F23" s="162" t="s">
        <v>489</v>
      </c>
      <c r="G23" s="162" t="s">
        <v>490</v>
      </c>
      <c r="H23" s="162" t="s">
        <v>491</v>
      </c>
      <c r="I23" s="163">
        <v>9.76162861E8</v>
      </c>
      <c r="J23" s="164" t="s">
        <v>431</v>
      </c>
    </row>
    <row r="24">
      <c r="A24" s="159" t="s">
        <v>134</v>
      </c>
      <c r="B24" s="159" t="s">
        <v>139</v>
      </c>
      <c r="C24" s="160" t="s">
        <v>251</v>
      </c>
      <c r="D24" s="160" t="s">
        <v>126</v>
      </c>
      <c r="E24" s="161" t="s">
        <v>427</v>
      </c>
      <c r="F24" s="162" t="s">
        <v>471</v>
      </c>
      <c r="G24" s="162" t="s">
        <v>472</v>
      </c>
      <c r="H24" s="162" t="s">
        <v>473</v>
      </c>
      <c r="I24" s="163">
        <v>9.5716873E8</v>
      </c>
      <c r="J24" s="164" t="s">
        <v>431</v>
      </c>
    </row>
    <row r="25">
      <c r="A25" s="159" t="s">
        <v>141</v>
      </c>
      <c r="B25" s="159" t="s">
        <v>46</v>
      </c>
      <c r="C25" s="160" t="s">
        <v>189</v>
      </c>
      <c r="D25" s="160" t="s">
        <v>126</v>
      </c>
      <c r="E25" s="161" t="s">
        <v>427</v>
      </c>
      <c r="F25" s="162" t="s">
        <v>492</v>
      </c>
      <c r="G25" s="162" t="s">
        <v>493</v>
      </c>
      <c r="H25" s="162" t="s">
        <v>494</v>
      </c>
      <c r="I25" s="163">
        <v>9.88085864E8</v>
      </c>
      <c r="J25" s="164" t="s">
        <v>431</v>
      </c>
    </row>
    <row r="26">
      <c r="A26" s="159" t="s">
        <v>141</v>
      </c>
      <c r="B26" s="159" t="s">
        <v>53</v>
      </c>
      <c r="C26" s="160" t="s">
        <v>183</v>
      </c>
      <c r="D26" s="160" t="s">
        <v>126</v>
      </c>
      <c r="E26" s="161" t="s">
        <v>427</v>
      </c>
      <c r="F26" s="162" t="s">
        <v>495</v>
      </c>
      <c r="G26" s="162" t="s">
        <v>496</v>
      </c>
      <c r="H26" s="162" t="s">
        <v>497</v>
      </c>
      <c r="I26" s="163">
        <v>9.34264465E8</v>
      </c>
      <c r="J26" s="164" t="s">
        <v>431</v>
      </c>
    </row>
    <row r="27">
      <c r="A27" s="159" t="s">
        <v>141</v>
      </c>
      <c r="B27" s="159" t="s">
        <v>58</v>
      </c>
      <c r="C27" s="160" t="s">
        <v>184</v>
      </c>
      <c r="D27" s="160" t="s">
        <v>126</v>
      </c>
      <c r="E27" s="161" t="s">
        <v>427</v>
      </c>
      <c r="F27" s="162" t="s">
        <v>492</v>
      </c>
      <c r="G27" s="162" t="s">
        <v>493</v>
      </c>
      <c r="H27" s="162" t="s">
        <v>494</v>
      </c>
      <c r="I27" s="163">
        <v>9.88085864E8</v>
      </c>
      <c r="J27" s="164" t="s">
        <v>431</v>
      </c>
    </row>
    <row r="28">
      <c r="A28" s="159" t="s">
        <v>141</v>
      </c>
      <c r="B28" s="159" t="s">
        <v>59</v>
      </c>
      <c r="C28" s="160" t="s">
        <v>185</v>
      </c>
      <c r="D28" s="160" t="s">
        <v>126</v>
      </c>
      <c r="E28" s="161" t="s">
        <v>427</v>
      </c>
      <c r="F28" s="162" t="s">
        <v>498</v>
      </c>
      <c r="G28" s="162" t="s">
        <v>499</v>
      </c>
      <c r="H28" s="162" t="s">
        <v>500</v>
      </c>
      <c r="I28" s="163">
        <v>9.35719598E8</v>
      </c>
      <c r="J28" s="164" t="s">
        <v>431</v>
      </c>
    </row>
    <row r="29">
      <c r="A29" s="166" t="s">
        <v>141</v>
      </c>
      <c r="B29" s="166" t="s">
        <v>61</v>
      </c>
      <c r="C29" s="167" t="s">
        <v>190</v>
      </c>
      <c r="D29" s="167" t="s">
        <v>126</v>
      </c>
      <c r="E29" s="168" t="s">
        <v>455</v>
      </c>
      <c r="F29" s="169" t="s">
        <v>501</v>
      </c>
      <c r="G29" s="170" t="s">
        <v>502</v>
      </c>
      <c r="H29" s="170" t="s">
        <v>503</v>
      </c>
      <c r="I29" s="171">
        <v>9.85669206E8</v>
      </c>
      <c r="J29" s="164" t="s">
        <v>504</v>
      </c>
    </row>
    <row r="30">
      <c r="A30" s="159" t="s">
        <v>141</v>
      </c>
      <c r="B30" s="159" t="s">
        <v>62</v>
      </c>
      <c r="C30" s="160" t="s">
        <v>181</v>
      </c>
      <c r="D30" s="160" t="s">
        <v>126</v>
      </c>
      <c r="E30" s="161" t="s">
        <v>427</v>
      </c>
      <c r="F30" s="162" t="s">
        <v>505</v>
      </c>
      <c r="G30" s="162" t="s">
        <v>506</v>
      </c>
      <c r="H30" s="162" t="s">
        <v>507</v>
      </c>
      <c r="I30" s="163">
        <v>9.76228233E8</v>
      </c>
      <c r="J30" s="164" t="s">
        <v>431</v>
      </c>
    </row>
    <row r="31">
      <c r="A31" s="159" t="s">
        <v>141</v>
      </c>
      <c r="B31" s="159" t="s">
        <v>143</v>
      </c>
      <c r="C31" s="160" t="s">
        <v>66</v>
      </c>
      <c r="D31" s="160" t="s">
        <v>126</v>
      </c>
      <c r="E31" s="161" t="s">
        <v>427</v>
      </c>
      <c r="F31" s="162" t="s">
        <v>508</v>
      </c>
      <c r="G31" s="162" t="s">
        <v>509</v>
      </c>
      <c r="H31" s="162" t="s">
        <v>510</v>
      </c>
      <c r="I31" s="163">
        <v>9.82937556E8</v>
      </c>
      <c r="J31" s="164" t="s">
        <v>431</v>
      </c>
    </row>
    <row r="32">
      <c r="A32" s="166" t="s">
        <v>141</v>
      </c>
      <c r="B32" s="166" t="s">
        <v>64</v>
      </c>
      <c r="C32" s="167" t="s">
        <v>188</v>
      </c>
      <c r="D32" s="167" t="s">
        <v>126</v>
      </c>
      <c r="E32" s="168" t="s">
        <v>450</v>
      </c>
      <c r="F32" s="170" t="s">
        <v>505</v>
      </c>
      <c r="G32" s="170" t="s">
        <v>506</v>
      </c>
      <c r="H32" s="170" t="s">
        <v>507</v>
      </c>
      <c r="I32" s="171">
        <v>9.76228233E8</v>
      </c>
      <c r="J32" s="164" t="s">
        <v>504</v>
      </c>
    </row>
    <row r="33">
      <c r="A33" s="159" t="s">
        <v>141</v>
      </c>
      <c r="B33" s="159" t="s">
        <v>65</v>
      </c>
      <c r="C33" s="160" t="s">
        <v>187</v>
      </c>
      <c r="D33" s="160" t="s">
        <v>126</v>
      </c>
      <c r="E33" s="161" t="s">
        <v>427</v>
      </c>
      <c r="F33" s="162" t="s">
        <v>511</v>
      </c>
      <c r="G33" s="162" t="s">
        <v>512</v>
      </c>
      <c r="H33" s="162" t="s">
        <v>513</v>
      </c>
      <c r="I33" s="163">
        <v>9.56869293E8</v>
      </c>
      <c r="J33" s="164" t="s">
        <v>431</v>
      </c>
    </row>
    <row r="34">
      <c r="A34" s="159" t="s">
        <v>141</v>
      </c>
      <c r="B34" s="159" t="s">
        <v>67</v>
      </c>
      <c r="C34" s="160" t="s">
        <v>191</v>
      </c>
      <c r="D34" s="160" t="s">
        <v>126</v>
      </c>
      <c r="E34" s="161" t="s">
        <v>427</v>
      </c>
      <c r="F34" s="162" t="s">
        <v>501</v>
      </c>
      <c r="G34" s="162" t="s">
        <v>502</v>
      </c>
      <c r="H34" s="162" t="s">
        <v>503</v>
      </c>
      <c r="I34" s="163">
        <v>9.85669206E8</v>
      </c>
      <c r="J34" s="164" t="s">
        <v>431</v>
      </c>
    </row>
    <row r="35">
      <c r="A35" s="159" t="s">
        <v>146</v>
      </c>
      <c r="B35" s="159" t="s">
        <v>68</v>
      </c>
      <c r="C35" s="160" t="s">
        <v>256</v>
      </c>
      <c r="D35" s="160" t="s">
        <v>126</v>
      </c>
      <c r="E35" s="161" t="s">
        <v>427</v>
      </c>
      <c r="F35" s="162" t="s">
        <v>514</v>
      </c>
      <c r="G35" s="162" t="s">
        <v>515</v>
      </c>
      <c r="H35" s="162" t="s">
        <v>516</v>
      </c>
      <c r="I35" s="163">
        <v>9.6188455E8</v>
      </c>
      <c r="J35" s="164" t="s">
        <v>431</v>
      </c>
    </row>
    <row r="36">
      <c r="A36" s="159" t="s">
        <v>146</v>
      </c>
      <c r="B36" s="159" t="s">
        <v>69</v>
      </c>
      <c r="C36" s="160" t="s">
        <v>415</v>
      </c>
      <c r="D36" s="160" t="s">
        <v>126</v>
      </c>
      <c r="E36" s="161" t="s">
        <v>427</v>
      </c>
      <c r="F36" s="162" t="s">
        <v>514</v>
      </c>
      <c r="G36" s="162" t="s">
        <v>515</v>
      </c>
      <c r="H36" s="162" t="s">
        <v>516</v>
      </c>
      <c r="I36" s="163">
        <v>9.6188455E8</v>
      </c>
      <c r="J36" s="164" t="s">
        <v>431</v>
      </c>
    </row>
    <row r="37">
      <c r="A37" s="159" t="s">
        <v>148</v>
      </c>
      <c r="B37" s="159" t="s">
        <v>70</v>
      </c>
      <c r="C37" s="160" t="s">
        <v>261</v>
      </c>
      <c r="D37" s="160" t="s">
        <v>126</v>
      </c>
      <c r="E37" s="161" t="s">
        <v>427</v>
      </c>
      <c r="F37" s="162" t="s">
        <v>517</v>
      </c>
      <c r="G37" s="162" t="s">
        <v>518</v>
      </c>
      <c r="H37" s="162" t="s">
        <v>519</v>
      </c>
      <c r="I37" s="163">
        <v>9.32079781E8</v>
      </c>
      <c r="J37" s="164" t="s">
        <v>431</v>
      </c>
    </row>
    <row r="38">
      <c r="A38" s="159" t="s">
        <v>148</v>
      </c>
      <c r="B38" s="159" t="s">
        <v>71</v>
      </c>
      <c r="C38" s="160" t="s">
        <v>259</v>
      </c>
      <c r="D38" s="160" t="s">
        <v>126</v>
      </c>
      <c r="E38" s="161" t="s">
        <v>427</v>
      </c>
      <c r="F38" s="162" t="s">
        <v>520</v>
      </c>
      <c r="G38" s="162" t="s">
        <v>521</v>
      </c>
      <c r="H38" s="162" t="s">
        <v>522</v>
      </c>
      <c r="I38" s="163">
        <v>9.64789448E8</v>
      </c>
      <c r="J38" s="164" t="s">
        <v>431</v>
      </c>
    </row>
    <row r="39">
      <c r="A39" s="159" t="s">
        <v>148</v>
      </c>
      <c r="B39" s="159" t="s">
        <v>73</v>
      </c>
      <c r="C39" s="160" t="s">
        <v>260</v>
      </c>
      <c r="D39" s="160" t="s">
        <v>126</v>
      </c>
      <c r="E39" s="161" t="s">
        <v>427</v>
      </c>
      <c r="F39" s="162" t="s">
        <v>517</v>
      </c>
      <c r="G39" s="162" t="s">
        <v>518</v>
      </c>
      <c r="H39" s="162" t="s">
        <v>519</v>
      </c>
      <c r="I39" s="163">
        <v>9.32079781E8</v>
      </c>
      <c r="J39" s="164" t="s">
        <v>431</v>
      </c>
    </row>
    <row r="40">
      <c r="A40" s="159" t="s">
        <v>148</v>
      </c>
      <c r="B40" s="159" t="s">
        <v>74</v>
      </c>
      <c r="C40" s="160" t="s">
        <v>263</v>
      </c>
      <c r="D40" s="160" t="s">
        <v>126</v>
      </c>
      <c r="E40" s="161" t="s">
        <v>427</v>
      </c>
      <c r="F40" s="162" t="s">
        <v>523</v>
      </c>
      <c r="G40" s="162" t="s">
        <v>524</v>
      </c>
      <c r="H40" s="162" t="s">
        <v>525</v>
      </c>
      <c r="I40" s="163">
        <v>9.67259187E8</v>
      </c>
      <c r="J40" s="164" t="s">
        <v>431</v>
      </c>
    </row>
    <row r="41">
      <c r="A41" s="166" t="s">
        <v>148</v>
      </c>
      <c r="B41" s="166" t="s">
        <v>79</v>
      </c>
      <c r="C41" s="167" t="s">
        <v>266</v>
      </c>
      <c r="D41" s="167" t="s">
        <v>126</v>
      </c>
      <c r="E41" s="168" t="s">
        <v>450</v>
      </c>
      <c r="F41" s="169" t="s">
        <v>526</v>
      </c>
      <c r="G41" s="169" t="s">
        <v>527</v>
      </c>
      <c r="H41" s="169" t="s">
        <v>528</v>
      </c>
      <c r="I41" s="173">
        <v>9.42951019E8</v>
      </c>
      <c r="J41" s="164" t="s">
        <v>529</v>
      </c>
    </row>
    <row r="42">
      <c r="A42" s="159" t="s">
        <v>153</v>
      </c>
      <c r="B42" s="159" t="s">
        <v>80</v>
      </c>
      <c r="C42" s="160" t="s">
        <v>268</v>
      </c>
      <c r="D42" s="160" t="s">
        <v>126</v>
      </c>
      <c r="E42" s="161" t="s">
        <v>427</v>
      </c>
      <c r="F42" s="162" t="s">
        <v>530</v>
      </c>
      <c r="G42" s="162" t="s">
        <v>531</v>
      </c>
      <c r="H42" s="162" t="s">
        <v>532</v>
      </c>
      <c r="I42" s="163">
        <v>9.66712957E8</v>
      </c>
      <c r="J42" s="164" t="s">
        <v>431</v>
      </c>
    </row>
    <row r="43">
      <c r="A43" s="159" t="s">
        <v>153</v>
      </c>
      <c r="B43" s="159" t="s">
        <v>81</v>
      </c>
      <c r="C43" s="160" t="s">
        <v>269</v>
      </c>
      <c r="D43" s="160" t="s">
        <v>126</v>
      </c>
      <c r="E43" s="161" t="s">
        <v>427</v>
      </c>
      <c r="F43" s="162" t="s">
        <v>533</v>
      </c>
      <c r="G43" s="162" t="s">
        <v>534</v>
      </c>
      <c r="H43" s="162" t="s">
        <v>535</v>
      </c>
      <c r="I43" s="163">
        <v>9.52140128E8</v>
      </c>
      <c r="J43" s="164" t="s">
        <v>431</v>
      </c>
    </row>
    <row r="44">
      <c r="A44" s="159" t="s">
        <v>154</v>
      </c>
      <c r="B44" s="159" t="s">
        <v>98</v>
      </c>
      <c r="C44" s="160" t="s">
        <v>197</v>
      </c>
      <c r="D44" s="160" t="s">
        <v>126</v>
      </c>
      <c r="E44" s="161" t="s">
        <v>427</v>
      </c>
      <c r="F44" s="162" t="s">
        <v>536</v>
      </c>
      <c r="G44" s="162" t="s">
        <v>537</v>
      </c>
      <c r="H44" s="162" t="s">
        <v>538</v>
      </c>
      <c r="I44" s="163">
        <v>9.8749475E8</v>
      </c>
      <c r="J44" s="164" t="s">
        <v>431</v>
      </c>
    </row>
    <row r="45">
      <c r="A45" s="159" t="s">
        <v>154</v>
      </c>
      <c r="B45" s="159" t="s">
        <v>89</v>
      </c>
      <c r="C45" s="160" t="s">
        <v>198</v>
      </c>
      <c r="D45" s="160" t="s">
        <v>126</v>
      </c>
      <c r="E45" s="161" t="s">
        <v>427</v>
      </c>
      <c r="F45" s="162" t="s">
        <v>539</v>
      </c>
      <c r="G45" s="162" t="s">
        <v>540</v>
      </c>
      <c r="H45" s="162" t="s">
        <v>541</v>
      </c>
      <c r="I45" s="163">
        <v>9.61831217E8</v>
      </c>
      <c r="J45" s="164" t="s">
        <v>431</v>
      </c>
    </row>
    <row r="46">
      <c r="A46" s="166" t="s">
        <v>154</v>
      </c>
      <c r="B46" s="166" t="s">
        <v>91</v>
      </c>
      <c r="C46" s="172" t="s">
        <v>193</v>
      </c>
      <c r="D46" s="167" t="s">
        <v>126</v>
      </c>
      <c r="E46" s="168" t="s">
        <v>450</v>
      </c>
      <c r="F46" s="169" t="s">
        <v>542</v>
      </c>
      <c r="G46" s="169" t="s">
        <v>543</v>
      </c>
      <c r="H46" s="169" t="s">
        <v>544</v>
      </c>
      <c r="I46" s="173">
        <v>9.51257824E8</v>
      </c>
      <c r="J46" s="164" t="s">
        <v>459</v>
      </c>
    </row>
    <row r="47">
      <c r="A47" s="166" t="s">
        <v>154</v>
      </c>
      <c r="B47" s="166" t="s">
        <v>92</v>
      </c>
      <c r="C47" s="167" t="s">
        <v>196</v>
      </c>
      <c r="D47" s="167" t="s">
        <v>126</v>
      </c>
      <c r="E47" s="168" t="s">
        <v>450</v>
      </c>
      <c r="F47" s="170" t="s">
        <v>545</v>
      </c>
      <c r="G47" s="170" t="s">
        <v>546</v>
      </c>
      <c r="H47" s="170" t="s">
        <v>547</v>
      </c>
      <c r="I47" s="171">
        <v>9.30619292E8</v>
      </c>
      <c r="J47" s="164" t="s">
        <v>504</v>
      </c>
    </row>
    <row r="48">
      <c r="A48" s="166" t="s">
        <v>158</v>
      </c>
      <c r="B48" s="166" t="s">
        <v>94</v>
      </c>
      <c r="C48" s="167" t="s">
        <v>201</v>
      </c>
      <c r="D48" s="167" t="s">
        <v>126</v>
      </c>
      <c r="E48" s="168" t="s">
        <v>455</v>
      </c>
      <c r="F48" s="170" t="s">
        <v>548</v>
      </c>
      <c r="G48" s="170" t="s">
        <v>549</v>
      </c>
      <c r="H48" s="170" t="s">
        <v>550</v>
      </c>
      <c r="I48" s="171">
        <v>9.39526276E8</v>
      </c>
      <c r="J48" s="164" t="s">
        <v>551</v>
      </c>
    </row>
    <row r="49">
      <c r="A49" s="159" t="s">
        <v>158</v>
      </c>
      <c r="B49" s="159" t="s">
        <v>99</v>
      </c>
      <c r="C49" s="160" t="s">
        <v>215</v>
      </c>
      <c r="D49" s="160" t="s">
        <v>126</v>
      </c>
      <c r="E49" s="161" t="s">
        <v>427</v>
      </c>
      <c r="F49" s="162" t="s">
        <v>552</v>
      </c>
      <c r="G49" s="162" t="s">
        <v>553</v>
      </c>
      <c r="H49" s="162" t="s">
        <v>554</v>
      </c>
      <c r="I49" s="163">
        <v>9.67793648E8</v>
      </c>
      <c r="J49" s="164" t="s">
        <v>431</v>
      </c>
    </row>
    <row r="50">
      <c r="A50" s="159" t="s">
        <v>158</v>
      </c>
      <c r="B50" s="159" t="s">
        <v>101</v>
      </c>
      <c r="C50" s="160" t="s">
        <v>216</v>
      </c>
      <c r="D50" s="160" t="s">
        <v>126</v>
      </c>
      <c r="E50" s="161" t="s">
        <v>427</v>
      </c>
      <c r="F50" s="162" t="s">
        <v>555</v>
      </c>
      <c r="G50" s="162" t="s">
        <v>556</v>
      </c>
      <c r="H50" s="162" t="s">
        <v>557</v>
      </c>
      <c r="I50" s="163">
        <v>9.72267186E8</v>
      </c>
      <c r="J50" s="164" t="s">
        <v>431</v>
      </c>
    </row>
    <row r="51">
      <c r="A51" s="159" t="s">
        <v>158</v>
      </c>
      <c r="B51" s="159" t="s">
        <v>103</v>
      </c>
      <c r="C51" s="160" t="s">
        <v>211</v>
      </c>
      <c r="D51" s="160" t="s">
        <v>126</v>
      </c>
      <c r="E51" s="161" t="s">
        <v>427</v>
      </c>
      <c r="F51" s="162" t="s">
        <v>558</v>
      </c>
      <c r="G51" s="162" t="s">
        <v>559</v>
      </c>
      <c r="H51" s="162" t="s">
        <v>560</v>
      </c>
      <c r="I51" s="163">
        <v>9.42706033E8</v>
      </c>
      <c r="J51" s="164" t="s">
        <v>431</v>
      </c>
    </row>
    <row r="52">
      <c r="A52" s="159" t="s">
        <v>158</v>
      </c>
      <c r="B52" s="159" t="s">
        <v>160</v>
      </c>
      <c r="C52" s="160" t="s">
        <v>202</v>
      </c>
      <c r="D52" s="160" t="s">
        <v>126</v>
      </c>
      <c r="E52" s="161" t="s">
        <v>427</v>
      </c>
      <c r="F52" s="162" t="s">
        <v>561</v>
      </c>
      <c r="G52" s="162" t="s">
        <v>562</v>
      </c>
      <c r="H52" s="162" t="s">
        <v>563</v>
      </c>
      <c r="I52" s="163">
        <v>9.71357227E8</v>
      </c>
      <c r="J52" s="164" t="s">
        <v>431</v>
      </c>
    </row>
    <row r="53">
      <c r="A53" s="159" t="s">
        <v>158</v>
      </c>
      <c r="B53" s="159" t="s">
        <v>96</v>
      </c>
      <c r="C53" s="160" t="s">
        <v>203</v>
      </c>
      <c r="D53" s="160" t="s">
        <v>126</v>
      </c>
      <c r="E53" s="161" t="s">
        <v>427</v>
      </c>
      <c r="F53" s="162" t="s">
        <v>548</v>
      </c>
      <c r="G53" s="162" t="s">
        <v>549</v>
      </c>
      <c r="H53" s="162" t="s">
        <v>550</v>
      </c>
      <c r="I53" s="163">
        <v>9.39526276E8</v>
      </c>
      <c r="J53" s="164" t="s">
        <v>431</v>
      </c>
    </row>
    <row r="54">
      <c r="A54" s="159" t="s">
        <v>158</v>
      </c>
      <c r="B54" s="159" t="s">
        <v>104</v>
      </c>
      <c r="C54" s="160" t="s">
        <v>213</v>
      </c>
      <c r="D54" s="160" t="s">
        <v>126</v>
      </c>
      <c r="E54" s="161" t="s">
        <v>427</v>
      </c>
      <c r="F54" s="162" t="s">
        <v>552</v>
      </c>
      <c r="G54" s="162" t="s">
        <v>553</v>
      </c>
      <c r="H54" s="162" t="s">
        <v>554</v>
      </c>
      <c r="I54" s="163">
        <v>9.67793648E8</v>
      </c>
      <c r="J54" s="164" t="s">
        <v>431</v>
      </c>
    </row>
    <row r="55">
      <c r="A55" s="159" t="s">
        <v>158</v>
      </c>
      <c r="B55" s="159" t="s">
        <v>105</v>
      </c>
      <c r="C55" s="160" t="s">
        <v>214</v>
      </c>
      <c r="D55" s="160" t="s">
        <v>126</v>
      </c>
      <c r="E55" s="161" t="s">
        <v>427</v>
      </c>
      <c r="F55" s="162" t="s">
        <v>564</v>
      </c>
      <c r="G55" s="162" t="s">
        <v>565</v>
      </c>
      <c r="H55" s="162" t="s">
        <v>566</v>
      </c>
      <c r="I55" s="163">
        <v>9.9595458E8</v>
      </c>
      <c r="J55" s="164" t="s">
        <v>431</v>
      </c>
    </row>
    <row r="56">
      <c r="A56" s="159" t="s">
        <v>158</v>
      </c>
      <c r="B56" s="159" t="s">
        <v>102</v>
      </c>
      <c r="C56" s="160" t="s">
        <v>204</v>
      </c>
      <c r="D56" s="160" t="s">
        <v>126</v>
      </c>
      <c r="E56" s="161" t="s">
        <v>427</v>
      </c>
      <c r="F56" s="162" t="s">
        <v>564</v>
      </c>
      <c r="G56" s="162" t="s">
        <v>565</v>
      </c>
      <c r="H56" s="162" t="s">
        <v>566</v>
      </c>
      <c r="I56" s="163">
        <v>9.9595458E8</v>
      </c>
      <c r="J56" s="164" t="s">
        <v>431</v>
      </c>
    </row>
    <row r="57">
      <c r="A57" s="166" t="s">
        <v>158</v>
      </c>
      <c r="B57" s="166" t="s">
        <v>106</v>
      </c>
      <c r="C57" s="167" t="s">
        <v>255</v>
      </c>
      <c r="D57" s="167" t="s">
        <v>126</v>
      </c>
      <c r="E57" s="168" t="s">
        <v>455</v>
      </c>
      <c r="F57" s="169" t="s">
        <v>526</v>
      </c>
      <c r="G57" s="169" t="s">
        <v>527</v>
      </c>
      <c r="H57" s="169" t="s">
        <v>528</v>
      </c>
      <c r="I57" s="173">
        <v>9.42951019E8</v>
      </c>
      <c r="J57" s="164" t="s">
        <v>529</v>
      </c>
    </row>
    <row r="58">
      <c r="A58" s="159" t="s">
        <v>158</v>
      </c>
      <c r="B58" s="159" t="s">
        <v>162</v>
      </c>
      <c r="C58" s="160" t="s">
        <v>205</v>
      </c>
      <c r="D58" s="160" t="s">
        <v>126</v>
      </c>
      <c r="E58" s="161" t="s">
        <v>427</v>
      </c>
      <c r="F58" s="162" t="s">
        <v>567</v>
      </c>
      <c r="G58" s="162" t="s">
        <v>568</v>
      </c>
      <c r="H58" s="162" t="s">
        <v>569</v>
      </c>
      <c r="I58" s="163">
        <v>9.3632913E8</v>
      </c>
      <c r="J58" s="164" t="s">
        <v>431</v>
      </c>
    </row>
    <row r="59">
      <c r="A59" s="159" t="s">
        <v>158</v>
      </c>
      <c r="B59" s="160" t="s">
        <v>164</v>
      </c>
      <c r="C59" s="160" t="s">
        <v>212</v>
      </c>
      <c r="D59" s="160" t="s">
        <v>126</v>
      </c>
      <c r="E59" s="161" t="s">
        <v>427</v>
      </c>
      <c r="F59" s="162" t="s">
        <v>570</v>
      </c>
      <c r="G59" s="162" t="s">
        <v>571</v>
      </c>
      <c r="H59" s="162" t="s">
        <v>572</v>
      </c>
      <c r="I59" s="163">
        <v>9.75734946E8</v>
      </c>
      <c r="J59" s="179" t="s">
        <v>431</v>
      </c>
    </row>
    <row r="60">
      <c r="A60" s="159" t="s">
        <v>158</v>
      </c>
      <c r="B60" s="160" t="s">
        <v>166</v>
      </c>
      <c r="C60" s="160" t="s">
        <v>210</v>
      </c>
      <c r="D60" s="160" t="s">
        <v>126</v>
      </c>
      <c r="E60" s="161" t="s">
        <v>427</v>
      </c>
      <c r="F60" s="162" t="s">
        <v>573</v>
      </c>
      <c r="G60" s="162" t="s">
        <v>574</v>
      </c>
      <c r="H60" s="162" t="s">
        <v>575</v>
      </c>
      <c r="I60" s="163">
        <v>9.82960752E8</v>
      </c>
      <c r="J60" s="164" t="s">
        <v>431</v>
      </c>
    </row>
    <row r="61">
      <c r="A61" s="166" t="s">
        <v>167</v>
      </c>
      <c r="B61" s="166" t="s">
        <v>107</v>
      </c>
      <c r="C61" s="167" t="s">
        <v>221</v>
      </c>
      <c r="D61" s="167" t="s">
        <v>126</v>
      </c>
      <c r="E61" s="168" t="s">
        <v>450</v>
      </c>
      <c r="F61" s="170" t="s">
        <v>576</v>
      </c>
      <c r="G61" s="170" t="s">
        <v>577</v>
      </c>
      <c r="H61" s="170" t="s">
        <v>578</v>
      </c>
      <c r="I61" s="171">
        <v>9.73322624E8</v>
      </c>
      <c r="J61" s="164" t="s">
        <v>579</v>
      </c>
    </row>
    <row r="62">
      <c r="A62" s="159" t="s">
        <v>167</v>
      </c>
      <c r="B62" s="159" t="s">
        <v>108</v>
      </c>
      <c r="C62" s="160" t="s">
        <v>218</v>
      </c>
      <c r="D62" s="160" t="s">
        <v>126</v>
      </c>
      <c r="E62" s="161" t="s">
        <v>427</v>
      </c>
      <c r="F62" s="162" t="s">
        <v>580</v>
      </c>
      <c r="G62" s="162" t="s">
        <v>581</v>
      </c>
      <c r="H62" s="162" t="s">
        <v>582</v>
      </c>
      <c r="I62" s="163">
        <v>9.73817715E8</v>
      </c>
      <c r="J62" s="165" t="s">
        <v>431</v>
      </c>
    </row>
    <row r="63">
      <c r="A63" s="166" t="s">
        <v>167</v>
      </c>
      <c r="B63" s="166" t="s">
        <v>109</v>
      </c>
      <c r="C63" s="167" t="s">
        <v>222</v>
      </c>
      <c r="D63" s="167" t="s">
        <v>126</v>
      </c>
      <c r="E63" s="168" t="s">
        <v>450</v>
      </c>
      <c r="F63" s="170" t="s">
        <v>576</v>
      </c>
      <c r="G63" s="170" t="s">
        <v>577</v>
      </c>
      <c r="H63" s="170" t="s">
        <v>578</v>
      </c>
      <c r="I63" s="171">
        <v>9.73322624E8</v>
      </c>
      <c r="J63" s="164" t="s">
        <v>579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4" max="4" width="24.5"/>
    <col customWidth="1" min="5" max="5" width="28.88"/>
    <col customWidth="1" min="6" max="6" width="13.88"/>
    <col customWidth="1" min="7" max="7" width="19.25"/>
    <col customWidth="1" min="8" max="8" width="14.13"/>
    <col customWidth="1" min="9" max="9" width="22.38"/>
    <col customWidth="1" min="10" max="10" width="16.5"/>
    <col customWidth="1" min="11" max="11" width="10.75"/>
    <col customWidth="1" min="12" max="13" width="7.75"/>
  </cols>
  <sheetData>
    <row r="1">
      <c r="A1" s="180" t="s">
        <v>177</v>
      </c>
      <c r="B1" s="180" t="s">
        <v>583</v>
      </c>
      <c r="C1" s="180" t="s">
        <v>584</v>
      </c>
      <c r="D1" s="180" t="s">
        <v>585</v>
      </c>
      <c r="E1" s="180" t="s">
        <v>178</v>
      </c>
      <c r="F1" s="22"/>
    </row>
    <row r="2">
      <c r="A2" s="2">
        <v>120.0</v>
      </c>
      <c r="B2" s="3" t="s">
        <v>6</v>
      </c>
      <c r="C2" s="1" t="str">
        <f t="shared" ref="C2:C24" si="1">RIGHT(B2,6)</f>
        <v>HKSV64</v>
      </c>
      <c r="D2" s="1" t="s">
        <v>586</v>
      </c>
      <c r="E2" s="1" t="s">
        <v>587</v>
      </c>
      <c r="F2" s="24" t="s">
        <v>88</v>
      </c>
      <c r="G2" s="22"/>
      <c r="H2" s="22"/>
      <c r="I2" s="22"/>
      <c r="J2" s="22"/>
      <c r="K2" s="22"/>
      <c r="L2" s="22"/>
    </row>
    <row r="3">
      <c r="A3" s="2">
        <v>120.0</v>
      </c>
      <c r="B3" s="3" t="s">
        <v>8</v>
      </c>
      <c r="C3" s="1" t="str">
        <f t="shared" si="1"/>
        <v>HZRX80</v>
      </c>
      <c r="D3" s="1" t="s">
        <v>586</v>
      </c>
      <c r="E3" s="181"/>
      <c r="F3" s="24" t="s">
        <v>88</v>
      </c>
      <c r="G3" s="22"/>
      <c r="H3" s="22"/>
      <c r="I3" s="22"/>
      <c r="J3" s="22"/>
      <c r="K3" s="22"/>
      <c r="L3" s="22"/>
    </row>
    <row r="4">
      <c r="A4" s="2">
        <v>120.0</v>
      </c>
      <c r="B4" s="3" t="s">
        <v>10</v>
      </c>
      <c r="C4" s="1" t="str">
        <f t="shared" si="1"/>
        <v>KCHJ51</v>
      </c>
      <c r="D4" s="1" t="s">
        <v>586</v>
      </c>
      <c r="E4" s="181"/>
      <c r="F4" s="24" t="s">
        <v>88</v>
      </c>
      <c r="G4" s="22"/>
      <c r="H4" s="22"/>
      <c r="I4" s="22"/>
      <c r="J4" s="22"/>
      <c r="K4" s="22"/>
      <c r="L4" s="22"/>
    </row>
    <row r="5">
      <c r="A5" s="2">
        <v>120.0</v>
      </c>
      <c r="B5" s="3" t="s">
        <v>11</v>
      </c>
      <c r="C5" s="1" t="str">
        <f t="shared" si="1"/>
        <v>KJJX80</v>
      </c>
      <c r="D5" s="1" t="s">
        <v>586</v>
      </c>
      <c r="E5" s="182" t="s">
        <v>588</v>
      </c>
      <c r="F5" s="24" t="s">
        <v>88</v>
      </c>
      <c r="G5" s="22"/>
      <c r="H5" s="22"/>
      <c r="I5" s="22"/>
      <c r="J5" s="22"/>
      <c r="K5" s="22"/>
      <c r="L5" s="22"/>
    </row>
    <row r="6">
      <c r="A6" s="2">
        <v>120.0</v>
      </c>
      <c r="B6" s="3" t="s">
        <v>13</v>
      </c>
      <c r="C6" s="1" t="str">
        <f t="shared" si="1"/>
        <v>KKJZ64</v>
      </c>
      <c r="D6" s="1" t="s">
        <v>586</v>
      </c>
      <c r="E6" s="1"/>
      <c r="F6" s="24" t="s">
        <v>88</v>
      </c>
      <c r="G6" s="22"/>
      <c r="H6" s="22"/>
      <c r="I6" s="22"/>
      <c r="J6" s="22"/>
      <c r="K6" s="22"/>
      <c r="L6" s="22"/>
    </row>
    <row r="7">
      <c r="A7" s="2">
        <v>120.0</v>
      </c>
      <c r="B7" s="3" t="s">
        <v>14</v>
      </c>
      <c r="C7" s="1" t="str">
        <f t="shared" si="1"/>
        <v>KTZY10</v>
      </c>
      <c r="D7" s="1" t="s">
        <v>586</v>
      </c>
      <c r="E7" s="182" t="s">
        <v>588</v>
      </c>
      <c r="F7" s="24" t="s">
        <v>88</v>
      </c>
      <c r="G7" s="22"/>
      <c r="H7" s="22"/>
      <c r="I7" s="22"/>
      <c r="J7" s="22"/>
      <c r="K7" s="22"/>
      <c r="L7" s="22"/>
    </row>
    <row r="8">
      <c r="A8" s="2">
        <v>120.0</v>
      </c>
      <c r="B8" s="3" t="s">
        <v>16</v>
      </c>
      <c r="C8" s="1" t="str">
        <f t="shared" si="1"/>
        <v>KTZY11</v>
      </c>
      <c r="D8" s="1" t="s">
        <v>589</v>
      </c>
      <c r="E8" s="1" t="s">
        <v>590</v>
      </c>
      <c r="F8" s="24" t="s">
        <v>140</v>
      </c>
      <c r="G8" s="22"/>
      <c r="H8" s="22"/>
      <c r="I8" s="22"/>
      <c r="J8" s="22"/>
      <c r="K8" s="22"/>
      <c r="L8" s="22"/>
    </row>
    <row r="9">
      <c r="A9" s="2">
        <v>120.0</v>
      </c>
      <c r="B9" s="3" t="s">
        <v>17</v>
      </c>
      <c r="C9" s="1" t="str">
        <f t="shared" si="1"/>
        <v>KYSJ80</v>
      </c>
      <c r="D9" s="1" t="s">
        <v>586</v>
      </c>
      <c r="E9" s="1"/>
      <c r="F9" s="24" t="s">
        <v>88</v>
      </c>
      <c r="G9" s="22"/>
      <c r="H9" s="22"/>
      <c r="I9" s="22"/>
      <c r="J9" s="22"/>
      <c r="K9" s="22"/>
      <c r="L9" s="22"/>
    </row>
    <row r="10">
      <c r="A10" s="2">
        <v>120.0</v>
      </c>
      <c r="B10" s="3" t="s">
        <v>19</v>
      </c>
      <c r="C10" s="1" t="str">
        <f t="shared" si="1"/>
        <v>PGJL89</v>
      </c>
      <c r="D10" s="1" t="s">
        <v>586</v>
      </c>
      <c r="E10" s="181"/>
      <c r="F10" s="24"/>
      <c r="G10" s="22"/>
      <c r="H10" s="22"/>
      <c r="I10" s="22"/>
      <c r="J10" s="22"/>
      <c r="K10" s="22"/>
      <c r="L10" s="22"/>
    </row>
    <row r="11">
      <c r="A11" s="2">
        <v>120.0</v>
      </c>
      <c r="B11" s="3" t="s">
        <v>18</v>
      </c>
      <c r="C11" s="1" t="str">
        <f t="shared" si="1"/>
        <v>KZZY17</v>
      </c>
      <c r="D11" s="1" t="s">
        <v>586</v>
      </c>
      <c r="E11" s="181"/>
      <c r="F11" s="24" t="s">
        <v>88</v>
      </c>
      <c r="G11" s="22"/>
      <c r="H11" s="22"/>
      <c r="I11" s="22"/>
      <c r="J11" s="22"/>
      <c r="K11" s="22"/>
      <c r="L11" s="22"/>
    </row>
    <row r="12">
      <c r="A12" s="2">
        <v>120.0</v>
      </c>
      <c r="B12" s="3" t="s">
        <v>20</v>
      </c>
      <c r="C12" s="1" t="str">
        <f t="shared" si="1"/>
        <v>LFZC21</v>
      </c>
      <c r="D12" s="1" t="s">
        <v>586</v>
      </c>
      <c r="E12" s="1" t="s">
        <v>591</v>
      </c>
      <c r="F12" s="24" t="s">
        <v>88</v>
      </c>
      <c r="G12" s="22"/>
      <c r="H12" s="22"/>
      <c r="I12" s="22"/>
      <c r="J12" s="22"/>
      <c r="K12" s="22"/>
      <c r="L12" s="22"/>
    </row>
    <row r="13">
      <c r="A13" s="2">
        <v>120.0</v>
      </c>
      <c r="B13" s="3" t="s">
        <v>21</v>
      </c>
      <c r="C13" s="1" t="str">
        <f t="shared" si="1"/>
        <v>LHVR22</v>
      </c>
      <c r="D13" s="1" t="s">
        <v>586</v>
      </c>
      <c r="E13" s="1" t="s">
        <v>587</v>
      </c>
      <c r="F13" s="24" t="s">
        <v>88</v>
      </c>
      <c r="G13" s="22"/>
      <c r="H13" s="22"/>
      <c r="I13" s="22"/>
      <c r="J13" s="22"/>
      <c r="K13" s="22"/>
      <c r="L13" s="22"/>
    </row>
    <row r="14">
      <c r="A14" s="2">
        <v>120.0</v>
      </c>
      <c r="B14" s="3" t="s">
        <v>22</v>
      </c>
      <c r="C14" s="1" t="str">
        <f t="shared" si="1"/>
        <v>RGVV55</v>
      </c>
      <c r="D14" s="1" t="s">
        <v>586</v>
      </c>
      <c r="E14" s="1" t="s">
        <v>591</v>
      </c>
      <c r="F14" s="24" t="s">
        <v>88</v>
      </c>
      <c r="G14" s="22"/>
      <c r="H14" s="22"/>
      <c r="I14" s="22"/>
      <c r="J14" s="22"/>
      <c r="K14" s="22"/>
      <c r="L14" s="22"/>
    </row>
    <row r="15">
      <c r="A15" s="2">
        <v>120.0</v>
      </c>
      <c r="B15" s="3" t="s">
        <v>23</v>
      </c>
      <c r="C15" s="1" t="str">
        <f t="shared" si="1"/>
        <v>RXTL44</v>
      </c>
      <c r="D15" s="1" t="s">
        <v>586</v>
      </c>
      <c r="E15" s="181"/>
      <c r="F15" s="24" t="s">
        <v>88</v>
      </c>
      <c r="G15" s="22"/>
      <c r="H15" s="22"/>
      <c r="I15" s="22"/>
      <c r="J15" s="22"/>
      <c r="K15" s="22"/>
      <c r="L15" s="22"/>
    </row>
    <row r="16">
      <c r="A16" s="2">
        <v>120.0</v>
      </c>
      <c r="B16" s="3" t="s">
        <v>24</v>
      </c>
      <c r="C16" s="1" t="str">
        <f t="shared" si="1"/>
        <v>RYJR47</v>
      </c>
      <c r="D16" s="1" t="s">
        <v>586</v>
      </c>
      <c r="E16" s="1"/>
      <c r="F16" s="24" t="s">
        <v>140</v>
      </c>
      <c r="G16" s="22"/>
      <c r="H16" s="22"/>
    </row>
    <row r="17">
      <c r="A17" s="2">
        <v>120.0</v>
      </c>
      <c r="B17" s="3" t="s">
        <v>25</v>
      </c>
      <c r="C17" s="1" t="str">
        <f t="shared" si="1"/>
        <v>TKWX57</v>
      </c>
      <c r="D17" s="1" t="s">
        <v>586</v>
      </c>
      <c r="E17" s="181"/>
      <c r="F17" s="24" t="s">
        <v>88</v>
      </c>
      <c r="G17" s="22"/>
      <c r="H17" s="22"/>
    </row>
    <row r="18">
      <c r="A18" s="2">
        <v>120.0</v>
      </c>
      <c r="B18" s="3" t="s">
        <v>26</v>
      </c>
      <c r="C18" s="1" t="str">
        <f t="shared" si="1"/>
        <v>TRYL82</v>
      </c>
      <c r="D18" s="1" t="s">
        <v>586</v>
      </c>
      <c r="E18" s="181"/>
      <c r="F18" s="24" t="s">
        <v>88</v>
      </c>
      <c r="G18" s="22"/>
      <c r="H18" s="22"/>
      <c r="I18" s="5">
        <v>120.0</v>
      </c>
      <c r="J18" s="5" t="s">
        <v>592</v>
      </c>
    </row>
    <row r="19">
      <c r="A19" s="2">
        <v>120.0</v>
      </c>
      <c r="B19" s="3" t="s">
        <v>28</v>
      </c>
      <c r="C19" s="1" t="str">
        <f t="shared" si="1"/>
        <v>TSCT51</v>
      </c>
      <c r="D19" s="1" t="s">
        <v>586</v>
      </c>
      <c r="E19" s="181"/>
      <c r="F19" s="24" t="s">
        <v>88</v>
      </c>
      <c r="G19" s="22"/>
      <c r="H19" s="22"/>
      <c r="I19" s="5">
        <v>618.0</v>
      </c>
      <c r="J19" s="5" t="s">
        <v>593</v>
      </c>
    </row>
    <row r="20">
      <c r="A20" s="2"/>
      <c r="B20" s="53" t="s">
        <v>19</v>
      </c>
      <c r="C20" s="1" t="str">
        <f t="shared" si="1"/>
        <v>PGJL89</v>
      </c>
      <c r="D20" s="1" t="s">
        <v>589</v>
      </c>
      <c r="E20" s="181"/>
      <c r="F20" s="24"/>
      <c r="G20" s="22"/>
      <c r="H20" s="22"/>
      <c r="I20" s="5"/>
      <c r="J20" s="5"/>
    </row>
    <row r="21">
      <c r="A21" s="2">
        <v>120.0</v>
      </c>
      <c r="B21" s="3" t="s">
        <v>30</v>
      </c>
      <c r="C21" s="1" t="str">
        <f t="shared" si="1"/>
        <v>TZCH26</v>
      </c>
      <c r="D21" s="1" t="s">
        <v>586</v>
      </c>
      <c r="E21" s="181"/>
      <c r="F21" s="24" t="s">
        <v>88</v>
      </c>
      <c r="G21" s="22"/>
      <c r="H21" s="22"/>
      <c r="I21" s="5">
        <v>99.0</v>
      </c>
      <c r="J21" s="5" t="s">
        <v>592</v>
      </c>
    </row>
    <row r="22">
      <c r="A22" s="2">
        <v>121.0</v>
      </c>
      <c r="B22" s="3" t="s">
        <v>31</v>
      </c>
      <c r="C22" s="1" t="str">
        <f t="shared" si="1"/>
        <v>CJJY36</v>
      </c>
      <c r="D22" s="1" t="s">
        <v>586</v>
      </c>
      <c r="E22" s="181"/>
      <c r="F22" s="24" t="s">
        <v>88</v>
      </c>
      <c r="G22" s="22"/>
      <c r="H22" s="22"/>
      <c r="I22" s="5">
        <v>657.0</v>
      </c>
      <c r="J22" s="5" t="s">
        <v>592</v>
      </c>
    </row>
    <row r="23">
      <c r="A23" s="2">
        <v>121.0</v>
      </c>
      <c r="B23" s="3" t="s">
        <v>33</v>
      </c>
      <c r="C23" s="1" t="str">
        <f t="shared" si="1"/>
        <v>RHXG50</v>
      </c>
      <c r="D23" s="1" t="s">
        <v>586</v>
      </c>
      <c r="E23" s="181"/>
      <c r="F23" s="24" t="s">
        <v>88</v>
      </c>
      <c r="G23" s="22"/>
      <c r="H23" s="22"/>
      <c r="I23" s="5">
        <v>98.0</v>
      </c>
      <c r="J23" s="5" t="s">
        <v>592</v>
      </c>
    </row>
    <row r="24">
      <c r="A24" s="2">
        <v>121.0</v>
      </c>
      <c r="B24" s="3" t="s">
        <v>35</v>
      </c>
      <c r="C24" s="1" t="str">
        <f t="shared" si="1"/>
        <v>VLHB59</v>
      </c>
      <c r="D24" s="1" t="s">
        <v>586</v>
      </c>
      <c r="E24" s="181"/>
      <c r="F24" s="24" t="s">
        <v>88</v>
      </c>
      <c r="G24" s="22"/>
      <c r="H24" s="22"/>
      <c r="I24" s="5">
        <v>94.0</v>
      </c>
      <c r="J24" s="5" t="s">
        <v>594</v>
      </c>
    </row>
    <row r="25">
      <c r="A25" s="2">
        <v>121.0</v>
      </c>
      <c r="B25" s="3" t="s">
        <v>595</v>
      </c>
      <c r="C25" s="1" t="s">
        <v>251</v>
      </c>
      <c r="D25" s="1" t="s">
        <v>586</v>
      </c>
      <c r="E25" s="1"/>
      <c r="F25" s="24" t="s">
        <v>592</v>
      </c>
      <c r="G25" s="22"/>
      <c r="H25" s="22"/>
    </row>
    <row r="26">
      <c r="A26" s="2">
        <v>121.0</v>
      </c>
      <c r="B26" s="3" t="s">
        <v>36</v>
      </c>
      <c r="C26" s="1" t="str">
        <f t="shared" ref="C26:C94" si="2">RIGHT(B26,6)</f>
        <v>RHWY99</v>
      </c>
      <c r="D26" s="1" t="s">
        <v>586</v>
      </c>
      <c r="E26" s="181"/>
      <c r="F26" s="24" t="s">
        <v>88</v>
      </c>
      <c r="G26" s="22"/>
      <c r="H26" s="22"/>
    </row>
    <row r="27">
      <c r="A27" s="2">
        <v>121.0</v>
      </c>
      <c r="B27" s="3" t="s">
        <v>37</v>
      </c>
      <c r="C27" s="1" t="str">
        <f t="shared" si="2"/>
        <v>PTGD93</v>
      </c>
      <c r="D27" s="1" t="s">
        <v>586</v>
      </c>
      <c r="E27" s="181"/>
      <c r="F27" s="24" t="s">
        <v>88</v>
      </c>
      <c r="G27" s="22"/>
      <c r="H27" s="22"/>
      <c r="J27" s="183" t="s">
        <v>596</v>
      </c>
    </row>
    <row r="28">
      <c r="A28" s="2">
        <v>121.0</v>
      </c>
      <c r="B28" s="3" t="s">
        <v>38</v>
      </c>
      <c r="C28" s="1" t="str">
        <f t="shared" si="2"/>
        <v>RPGK29</v>
      </c>
      <c r="D28" s="1" t="s">
        <v>586</v>
      </c>
      <c r="E28" s="181"/>
      <c r="F28" s="24" t="s">
        <v>88</v>
      </c>
      <c r="G28" s="22"/>
      <c r="H28" s="22"/>
    </row>
    <row r="29">
      <c r="A29" s="2">
        <v>121.0</v>
      </c>
      <c r="B29" s="3" t="s">
        <v>39</v>
      </c>
      <c r="C29" s="1" t="str">
        <f t="shared" si="2"/>
        <v>SBTV68</v>
      </c>
      <c r="D29" s="1" t="s">
        <v>586</v>
      </c>
      <c r="E29" s="181"/>
      <c r="F29" s="24" t="s">
        <v>88</v>
      </c>
      <c r="G29" s="22"/>
      <c r="H29" s="22"/>
    </row>
    <row r="30">
      <c r="A30" s="2">
        <v>121.0</v>
      </c>
      <c r="B30" s="53" t="s">
        <v>135</v>
      </c>
      <c r="C30" s="1" t="str">
        <f t="shared" si="2"/>
        <v>PSLP82</v>
      </c>
      <c r="D30" s="1" t="s">
        <v>586</v>
      </c>
      <c r="E30" s="181"/>
      <c r="F30" s="24" t="s">
        <v>88</v>
      </c>
      <c r="G30" s="22"/>
      <c r="H30" s="22"/>
    </row>
    <row r="31">
      <c r="A31" s="2">
        <v>121.0</v>
      </c>
      <c r="B31" s="3" t="s">
        <v>41</v>
      </c>
      <c r="C31" s="1" t="str">
        <f t="shared" si="2"/>
        <v>VDZC94</v>
      </c>
      <c r="D31" s="1" t="s">
        <v>586</v>
      </c>
      <c r="E31" s="181"/>
      <c r="F31" s="24" t="s">
        <v>88</v>
      </c>
      <c r="G31" s="22"/>
      <c r="H31" s="22"/>
    </row>
    <row r="32">
      <c r="A32" s="2">
        <v>121.0</v>
      </c>
      <c r="B32" s="3" t="s">
        <v>42</v>
      </c>
      <c r="C32" s="1" t="str">
        <f t="shared" si="2"/>
        <v>TYWH80</v>
      </c>
      <c r="D32" s="184" t="s">
        <v>586</v>
      </c>
      <c r="E32" s="181"/>
      <c r="F32" s="24" t="s">
        <v>597</v>
      </c>
      <c r="G32" s="22"/>
      <c r="H32" s="22"/>
    </row>
    <row r="33">
      <c r="A33" s="2">
        <v>121.0</v>
      </c>
      <c r="B33" s="3" t="s">
        <v>43</v>
      </c>
      <c r="C33" s="1" t="str">
        <f t="shared" si="2"/>
        <v>RVPT55</v>
      </c>
      <c r="D33" s="1" t="s">
        <v>589</v>
      </c>
      <c r="E33" s="1" t="s">
        <v>130</v>
      </c>
      <c r="F33" s="24" t="s">
        <v>140</v>
      </c>
      <c r="G33" s="22"/>
      <c r="H33" s="22"/>
    </row>
    <row r="34">
      <c r="A34" s="2">
        <v>58.0</v>
      </c>
      <c r="B34" s="3" t="s">
        <v>44</v>
      </c>
      <c r="C34" s="1" t="str">
        <f t="shared" si="2"/>
        <v>CJYL78</v>
      </c>
      <c r="D34" s="1" t="s">
        <v>589</v>
      </c>
      <c r="E34" s="1" t="s">
        <v>598</v>
      </c>
      <c r="F34" s="24" t="s">
        <v>140</v>
      </c>
      <c r="G34" s="22"/>
      <c r="H34" s="22"/>
    </row>
    <row r="35">
      <c r="A35" s="2">
        <v>58.0</v>
      </c>
      <c r="B35" s="3" t="s">
        <v>46</v>
      </c>
      <c r="C35" s="1" t="str">
        <f t="shared" si="2"/>
        <v>DLCB16</v>
      </c>
      <c r="D35" s="1" t="s">
        <v>586</v>
      </c>
      <c r="E35" s="181"/>
      <c r="F35" s="24" t="s">
        <v>88</v>
      </c>
      <c r="G35" s="22"/>
      <c r="H35" s="22"/>
    </row>
    <row r="36">
      <c r="A36" s="2">
        <v>58.0</v>
      </c>
      <c r="B36" s="3" t="s">
        <v>47</v>
      </c>
      <c r="C36" s="1" t="str">
        <f t="shared" si="2"/>
        <v>JPVT35</v>
      </c>
      <c r="D36" s="1" t="s">
        <v>586</v>
      </c>
      <c r="E36" s="1" t="s">
        <v>84</v>
      </c>
      <c r="F36" s="24" t="s">
        <v>88</v>
      </c>
      <c r="G36" s="24" t="s">
        <v>599</v>
      </c>
      <c r="H36" s="185">
        <v>46088.0</v>
      </c>
    </row>
    <row r="37">
      <c r="A37" s="2">
        <v>58.0</v>
      </c>
      <c r="B37" s="3" t="s">
        <v>49</v>
      </c>
      <c r="C37" s="1" t="str">
        <f t="shared" si="2"/>
        <v>LFTL60</v>
      </c>
      <c r="D37" s="1" t="s">
        <v>586</v>
      </c>
      <c r="E37" s="1" t="s">
        <v>84</v>
      </c>
      <c r="F37" s="24" t="s">
        <v>88</v>
      </c>
      <c r="G37" s="22"/>
      <c r="H37" s="22"/>
    </row>
    <row r="38">
      <c r="A38" s="2">
        <v>58.0</v>
      </c>
      <c r="B38" s="3" t="s">
        <v>51</v>
      </c>
      <c r="C38" s="1" t="str">
        <f t="shared" si="2"/>
        <v>PKPT90</v>
      </c>
      <c r="D38" s="1" t="s">
        <v>586</v>
      </c>
      <c r="E38" s="1" t="s">
        <v>84</v>
      </c>
      <c r="F38" s="24" t="s">
        <v>88</v>
      </c>
      <c r="G38" s="22"/>
      <c r="H38" s="22"/>
    </row>
    <row r="39">
      <c r="A39" s="2">
        <v>58.0</v>
      </c>
      <c r="B39" s="3" t="s">
        <v>53</v>
      </c>
      <c r="C39" s="1" t="str">
        <f t="shared" si="2"/>
        <v>PPWY63</v>
      </c>
      <c r="D39" s="1" t="s">
        <v>586</v>
      </c>
      <c r="E39" s="181"/>
      <c r="F39" s="24" t="s">
        <v>88</v>
      </c>
      <c r="G39" s="22"/>
      <c r="H39" s="22"/>
    </row>
    <row r="40">
      <c r="A40" s="2">
        <v>58.0</v>
      </c>
      <c r="B40" s="3" t="s">
        <v>54</v>
      </c>
      <c r="C40" s="1" t="str">
        <f t="shared" si="2"/>
        <v>PSCW71</v>
      </c>
      <c r="D40" s="1" t="s">
        <v>586</v>
      </c>
      <c r="E40" s="1" t="s">
        <v>84</v>
      </c>
      <c r="F40" s="24" t="s">
        <v>88</v>
      </c>
      <c r="G40" s="24" t="s">
        <v>600</v>
      </c>
      <c r="H40" s="22"/>
    </row>
    <row r="41">
      <c r="A41" s="2">
        <v>58.0</v>
      </c>
      <c r="B41" s="3" t="s">
        <v>56</v>
      </c>
      <c r="C41" s="1" t="str">
        <f t="shared" si="2"/>
        <v>RDPF14</v>
      </c>
      <c r="D41" s="1" t="s">
        <v>589</v>
      </c>
      <c r="E41" s="1" t="s">
        <v>601</v>
      </c>
      <c r="F41" s="24" t="s">
        <v>140</v>
      </c>
      <c r="G41" s="22"/>
      <c r="H41" s="22"/>
    </row>
    <row r="42">
      <c r="A42" s="2">
        <v>58.0</v>
      </c>
      <c r="B42" s="3" t="s">
        <v>57</v>
      </c>
      <c r="C42" s="1" t="str">
        <f t="shared" si="2"/>
        <v>SFJT82</v>
      </c>
      <c r="D42" s="1" t="s">
        <v>586</v>
      </c>
      <c r="E42" s="1" t="s">
        <v>84</v>
      </c>
      <c r="F42" s="24" t="s">
        <v>88</v>
      </c>
      <c r="G42" s="22"/>
      <c r="H42" s="22"/>
    </row>
    <row r="43">
      <c r="A43" s="2"/>
      <c r="B43" s="53" t="s">
        <v>143</v>
      </c>
      <c r="C43" s="1" t="str">
        <f t="shared" si="2"/>
        <v>TPXY11</v>
      </c>
      <c r="D43" s="1" t="s">
        <v>589</v>
      </c>
      <c r="E43" s="181"/>
      <c r="F43" s="24"/>
      <c r="G43" s="22"/>
      <c r="H43" s="22"/>
    </row>
    <row r="44">
      <c r="A44" s="2">
        <v>58.0</v>
      </c>
      <c r="B44" s="3" t="s">
        <v>58</v>
      </c>
      <c r="C44" s="1" t="str">
        <f t="shared" si="2"/>
        <v>SRYH57</v>
      </c>
      <c r="D44" s="1" t="s">
        <v>586</v>
      </c>
      <c r="E44" s="181"/>
      <c r="F44" s="24" t="s">
        <v>88</v>
      </c>
      <c r="G44" s="22"/>
      <c r="H44" s="22"/>
    </row>
    <row r="45">
      <c r="A45" s="2">
        <v>58.0</v>
      </c>
      <c r="B45" s="3" t="s">
        <v>59</v>
      </c>
      <c r="C45" s="1" t="str">
        <f t="shared" si="2"/>
        <v>STWR86</v>
      </c>
      <c r="D45" s="1" t="s">
        <v>589</v>
      </c>
      <c r="E45" s="1" t="s">
        <v>598</v>
      </c>
      <c r="F45" s="24" t="s">
        <v>140</v>
      </c>
      <c r="G45" s="22"/>
      <c r="H45" s="22"/>
    </row>
    <row r="46">
      <c r="A46" s="2">
        <v>58.0</v>
      </c>
      <c r="B46" s="3" t="s">
        <v>61</v>
      </c>
      <c r="C46" s="1" t="str">
        <f t="shared" si="2"/>
        <v>SVLY73</v>
      </c>
      <c r="D46" s="1" t="s">
        <v>586</v>
      </c>
      <c r="E46" s="181"/>
      <c r="F46" s="24" t="s">
        <v>88</v>
      </c>
      <c r="G46" s="22"/>
      <c r="H46" s="22"/>
    </row>
    <row r="47">
      <c r="A47" s="2">
        <v>58.0</v>
      </c>
      <c r="B47" s="3" t="s">
        <v>62</v>
      </c>
      <c r="C47" s="1" t="str">
        <f t="shared" si="2"/>
        <v>SYSS70</v>
      </c>
      <c r="D47" s="1" t="s">
        <v>586</v>
      </c>
      <c r="E47" s="181"/>
      <c r="F47" s="24" t="s">
        <v>88</v>
      </c>
      <c r="G47" s="22"/>
      <c r="H47" s="22"/>
    </row>
    <row r="48">
      <c r="A48" s="2">
        <v>58.0</v>
      </c>
      <c r="B48" s="3" t="s">
        <v>64</v>
      </c>
      <c r="C48" s="1" t="str">
        <f t="shared" si="2"/>
        <v>TVZC13</v>
      </c>
      <c r="D48" s="1" t="s">
        <v>586</v>
      </c>
      <c r="E48" s="181"/>
      <c r="F48" s="24" t="s">
        <v>88</v>
      </c>
      <c r="G48" s="22"/>
      <c r="H48" s="22"/>
    </row>
    <row r="49">
      <c r="A49" s="2">
        <v>58.0</v>
      </c>
      <c r="B49" s="3" t="s">
        <v>65</v>
      </c>
      <c r="C49" s="1" t="str">
        <f t="shared" si="2"/>
        <v>VHSW61</v>
      </c>
      <c r="D49" s="1" t="s">
        <v>586</v>
      </c>
      <c r="E49" s="181"/>
      <c r="F49" s="24" t="s">
        <v>88</v>
      </c>
      <c r="G49" s="22"/>
      <c r="H49" s="22"/>
    </row>
    <row r="50">
      <c r="A50" s="2">
        <v>58.0</v>
      </c>
      <c r="B50" s="3" t="s">
        <v>67</v>
      </c>
      <c r="C50" s="1" t="str">
        <f t="shared" si="2"/>
        <v>TSTP28</v>
      </c>
      <c r="D50" s="1" t="s">
        <v>586</v>
      </c>
      <c r="E50" s="181"/>
      <c r="F50" s="24" t="s">
        <v>88</v>
      </c>
      <c r="G50" s="22"/>
      <c r="H50" s="22"/>
    </row>
    <row r="51">
      <c r="A51" s="2">
        <v>608.0</v>
      </c>
      <c r="B51" s="3" t="s">
        <v>68</v>
      </c>
      <c r="C51" s="1" t="str">
        <f t="shared" si="2"/>
        <v>HZPB58</v>
      </c>
      <c r="D51" s="1" t="s">
        <v>586</v>
      </c>
      <c r="E51" s="181"/>
      <c r="F51" s="24" t="s">
        <v>88</v>
      </c>
      <c r="G51" s="22"/>
      <c r="H51" s="22"/>
    </row>
    <row r="52">
      <c r="A52" s="2">
        <v>608.0</v>
      </c>
      <c r="B52" s="3" t="s">
        <v>69</v>
      </c>
      <c r="C52" s="1" t="str">
        <f t="shared" si="2"/>
        <v>TFBY52</v>
      </c>
      <c r="D52" s="1" t="s">
        <v>589</v>
      </c>
      <c r="E52" s="1" t="s">
        <v>602</v>
      </c>
      <c r="F52" s="24" t="s">
        <v>140</v>
      </c>
      <c r="G52" s="22"/>
      <c r="H52" s="22"/>
    </row>
    <row r="53">
      <c r="A53" s="2">
        <v>618.0</v>
      </c>
      <c r="B53" s="3" t="s">
        <v>70</v>
      </c>
      <c r="C53" s="1" t="str">
        <f t="shared" si="2"/>
        <v>FZKB60</v>
      </c>
      <c r="D53" s="1" t="s">
        <v>586</v>
      </c>
      <c r="E53" s="181"/>
      <c r="F53" s="24" t="s">
        <v>88</v>
      </c>
      <c r="G53" s="22"/>
      <c r="H53" s="22"/>
    </row>
    <row r="54">
      <c r="A54" s="2">
        <v>618.0</v>
      </c>
      <c r="B54" s="186" t="s">
        <v>71</v>
      </c>
      <c r="C54" s="187" t="str">
        <f t="shared" si="2"/>
        <v>JSTD66</v>
      </c>
      <c r="D54" s="1" t="s">
        <v>589</v>
      </c>
      <c r="E54" s="1" t="s">
        <v>603</v>
      </c>
      <c r="F54" s="24" t="s">
        <v>140</v>
      </c>
      <c r="G54" s="22"/>
      <c r="H54" s="22"/>
      <c r="I54" s="188"/>
      <c r="J54" s="188"/>
      <c r="K54" s="188"/>
      <c r="L54" s="188"/>
      <c r="M54" s="188"/>
      <c r="N54" s="188"/>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c r="BQ54" s="188"/>
      <c r="BR54" s="188"/>
      <c r="BS54" s="188"/>
      <c r="BT54" s="188"/>
      <c r="BU54" s="188"/>
      <c r="BV54" s="188"/>
      <c r="BW54" s="188"/>
      <c r="BX54" s="188"/>
      <c r="BY54" s="188"/>
      <c r="BZ54" s="188"/>
      <c r="CA54" s="188"/>
      <c r="CB54" s="188"/>
      <c r="CC54" s="188"/>
      <c r="CD54" s="188"/>
      <c r="CE54" s="188"/>
      <c r="CF54" s="188"/>
      <c r="CG54" s="188"/>
      <c r="CH54" s="188"/>
      <c r="CI54" s="188"/>
      <c r="CJ54" s="188"/>
      <c r="CK54" s="188"/>
      <c r="CL54" s="188"/>
      <c r="CM54" s="188"/>
      <c r="CN54" s="188"/>
      <c r="CO54" s="188"/>
      <c r="CP54" s="188"/>
      <c r="CQ54" s="188"/>
      <c r="CR54" s="188"/>
      <c r="CS54" s="188"/>
      <c r="CT54" s="188"/>
      <c r="CU54" s="188"/>
      <c r="CV54" s="188"/>
      <c r="CW54" s="188"/>
    </row>
    <row r="55">
      <c r="A55" s="2">
        <v>618.0</v>
      </c>
      <c r="B55" s="3" t="s">
        <v>73</v>
      </c>
      <c r="C55" s="1" t="str">
        <f t="shared" si="2"/>
        <v>KXDX77</v>
      </c>
      <c r="D55" s="1" t="s">
        <v>586</v>
      </c>
      <c r="E55" s="181"/>
      <c r="F55" s="24" t="s">
        <v>88</v>
      </c>
      <c r="G55" s="22"/>
      <c r="H55" s="22"/>
    </row>
    <row r="56">
      <c r="A56" s="2">
        <v>618.0</v>
      </c>
      <c r="B56" s="3" t="s">
        <v>74</v>
      </c>
      <c r="C56" s="1" t="str">
        <f t="shared" si="2"/>
        <v>KZZY13</v>
      </c>
      <c r="D56" s="1" t="s">
        <v>589</v>
      </c>
      <c r="E56" s="1" t="s">
        <v>604</v>
      </c>
      <c r="F56" s="24" t="s">
        <v>140</v>
      </c>
      <c r="G56" s="22"/>
      <c r="H56" s="22"/>
    </row>
    <row r="57">
      <c r="A57" s="2">
        <v>618.0</v>
      </c>
      <c r="B57" s="3" t="s">
        <v>75</v>
      </c>
      <c r="C57" s="1" t="str">
        <f t="shared" si="2"/>
        <v>RRTS29</v>
      </c>
      <c r="D57" s="1" t="s">
        <v>589</v>
      </c>
      <c r="E57" s="1" t="s">
        <v>604</v>
      </c>
      <c r="F57" s="24" t="s">
        <v>140</v>
      </c>
      <c r="G57" s="22"/>
      <c r="H57" s="22"/>
    </row>
    <row r="58">
      <c r="A58" s="2">
        <v>618.0</v>
      </c>
      <c r="B58" s="3" t="s">
        <v>76</v>
      </c>
      <c r="C58" s="1" t="str">
        <f t="shared" si="2"/>
        <v>RZTV41</v>
      </c>
      <c r="D58" s="1" t="s">
        <v>589</v>
      </c>
      <c r="E58" s="1" t="s">
        <v>604</v>
      </c>
      <c r="F58" s="24" t="s">
        <v>140</v>
      </c>
      <c r="G58" s="22"/>
      <c r="H58" s="22"/>
    </row>
    <row r="59">
      <c r="A59" s="2">
        <v>618.0</v>
      </c>
      <c r="B59" s="3" t="s">
        <v>77</v>
      </c>
      <c r="C59" s="1" t="str">
        <f t="shared" si="2"/>
        <v>VKDZ87</v>
      </c>
      <c r="D59" s="189" t="s">
        <v>586</v>
      </c>
      <c r="E59" s="181"/>
      <c r="F59" s="24" t="s">
        <v>597</v>
      </c>
      <c r="G59" s="22"/>
      <c r="H59" s="22"/>
    </row>
    <row r="60">
      <c r="A60" s="2">
        <v>618.0</v>
      </c>
      <c r="B60" s="3" t="s">
        <v>78</v>
      </c>
      <c r="C60" s="1" t="str">
        <f t="shared" si="2"/>
        <v>LCXH45</v>
      </c>
      <c r="D60" s="1" t="s">
        <v>586</v>
      </c>
      <c r="E60" s="181"/>
      <c r="F60" s="24" t="s">
        <v>88</v>
      </c>
      <c r="G60" s="22"/>
      <c r="H60" s="22"/>
    </row>
    <row r="61">
      <c r="A61" s="2">
        <v>618.0</v>
      </c>
      <c r="B61" s="3" t="s">
        <v>79</v>
      </c>
      <c r="C61" s="1" t="str">
        <f t="shared" si="2"/>
        <v>VKFD45</v>
      </c>
      <c r="D61" s="1" t="s">
        <v>589</v>
      </c>
      <c r="E61" s="1" t="s">
        <v>136</v>
      </c>
      <c r="F61" s="24" t="s">
        <v>140</v>
      </c>
      <c r="G61" s="22"/>
      <c r="H61" s="22"/>
    </row>
    <row r="62">
      <c r="A62" s="2">
        <v>657.0</v>
      </c>
      <c r="B62" s="3" t="s">
        <v>80</v>
      </c>
      <c r="C62" s="1" t="str">
        <f t="shared" si="2"/>
        <v>JSSK36</v>
      </c>
      <c r="D62" s="1" t="s">
        <v>586</v>
      </c>
      <c r="E62" s="181"/>
      <c r="F62" s="24" t="s">
        <v>88</v>
      </c>
      <c r="G62" s="22"/>
      <c r="H62" s="22"/>
    </row>
    <row r="63">
      <c r="A63" s="2">
        <v>657.0</v>
      </c>
      <c r="B63" s="3" t="s">
        <v>81</v>
      </c>
      <c r="C63" s="1" t="str">
        <f t="shared" si="2"/>
        <v>KGVB33</v>
      </c>
      <c r="D63" s="1" t="s">
        <v>589</v>
      </c>
      <c r="E63" s="1" t="s">
        <v>604</v>
      </c>
      <c r="F63" s="24" t="s">
        <v>140</v>
      </c>
      <c r="G63" s="22"/>
      <c r="H63" s="22"/>
    </row>
    <row r="64">
      <c r="A64" s="2">
        <v>697.0</v>
      </c>
      <c r="B64" s="3" t="s">
        <v>82</v>
      </c>
      <c r="C64" s="1" t="str">
        <f t="shared" si="2"/>
        <v>TVFT65</v>
      </c>
      <c r="D64" s="1" t="s">
        <v>586</v>
      </c>
      <c r="E64" s="181"/>
      <c r="F64" s="24" t="s">
        <v>605</v>
      </c>
      <c r="G64" s="22"/>
      <c r="H64" s="22"/>
    </row>
    <row r="65">
      <c r="A65" s="2">
        <v>697.0</v>
      </c>
      <c r="B65" s="1" t="s">
        <v>85</v>
      </c>
      <c r="C65" s="1" t="str">
        <f t="shared" si="2"/>
        <v>TVGC43</v>
      </c>
      <c r="D65" s="1" t="s">
        <v>586</v>
      </c>
      <c r="E65" s="181"/>
      <c r="F65" s="24" t="s">
        <v>605</v>
      </c>
      <c r="G65" s="22"/>
      <c r="H65" s="22"/>
    </row>
    <row r="66">
      <c r="A66" s="2">
        <v>697.0</v>
      </c>
      <c r="B66" s="3" t="s">
        <v>86</v>
      </c>
      <c r="C66" s="1" t="str">
        <f t="shared" si="2"/>
        <v>TZTH82</v>
      </c>
      <c r="D66" s="1" t="s">
        <v>586</v>
      </c>
      <c r="E66" s="181"/>
      <c r="F66" s="24" t="s">
        <v>605</v>
      </c>
      <c r="G66" s="22"/>
      <c r="H66" s="22"/>
    </row>
    <row r="67">
      <c r="A67" s="2">
        <v>94.0</v>
      </c>
      <c r="B67" s="186" t="s">
        <v>87</v>
      </c>
      <c r="C67" s="1" t="str">
        <f t="shared" si="2"/>
        <v>JLGK20</v>
      </c>
      <c r="D67" s="1" t="s">
        <v>586</v>
      </c>
      <c r="E67" s="181"/>
      <c r="F67" s="24" t="s">
        <v>88</v>
      </c>
      <c r="G67" s="22"/>
      <c r="H67" s="22"/>
    </row>
    <row r="68">
      <c r="A68" s="2">
        <v>94.0</v>
      </c>
      <c r="B68" s="186" t="s">
        <v>89</v>
      </c>
      <c r="C68" s="1" t="str">
        <f t="shared" si="2"/>
        <v>PGHD38</v>
      </c>
      <c r="D68" s="189" t="s">
        <v>586</v>
      </c>
      <c r="E68" s="181"/>
      <c r="F68" s="24" t="s">
        <v>597</v>
      </c>
      <c r="G68" s="22"/>
      <c r="H68" s="22"/>
    </row>
    <row r="69">
      <c r="A69" s="2">
        <v>94.0</v>
      </c>
      <c r="B69" s="186" t="s">
        <v>90</v>
      </c>
      <c r="C69" s="1" t="str">
        <f t="shared" si="2"/>
        <v>PKKB35</v>
      </c>
      <c r="D69" s="1" t="s">
        <v>589</v>
      </c>
      <c r="E69" s="187" t="s">
        <v>136</v>
      </c>
      <c r="F69" s="24" t="s">
        <v>140</v>
      </c>
      <c r="G69" s="22"/>
      <c r="H69" s="22"/>
    </row>
    <row r="70">
      <c r="A70" s="2">
        <v>94.0</v>
      </c>
      <c r="B70" s="186" t="s">
        <v>91</v>
      </c>
      <c r="C70" s="1" t="str">
        <f t="shared" si="2"/>
        <v>TRYL78</v>
      </c>
      <c r="D70" s="1" t="s">
        <v>586</v>
      </c>
      <c r="E70" s="181"/>
      <c r="F70" s="24" t="s">
        <v>88</v>
      </c>
      <c r="G70" s="22"/>
      <c r="H70" s="22"/>
    </row>
    <row r="71">
      <c r="A71" s="2">
        <v>94.0</v>
      </c>
      <c r="B71" s="3" t="s">
        <v>92</v>
      </c>
      <c r="C71" s="1" t="str">
        <f t="shared" si="2"/>
        <v>VGWW22</v>
      </c>
      <c r="D71" s="1" t="s">
        <v>586</v>
      </c>
      <c r="E71" s="181"/>
      <c r="F71" s="24" t="s">
        <v>88</v>
      </c>
      <c r="G71" s="22"/>
      <c r="H71" s="22"/>
    </row>
    <row r="72">
      <c r="A72" s="2">
        <v>94.0</v>
      </c>
      <c r="B72" s="3" t="s">
        <v>94</v>
      </c>
      <c r="C72" s="1" t="str">
        <f t="shared" si="2"/>
        <v>KSXP45</v>
      </c>
      <c r="D72" s="189" t="s">
        <v>586</v>
      </c>
      <c r="E72" s="181"/>
      <c r="F72" s="24" t="s">
        <v>597</v>
      </c>
      <c r="G72" s="22"/>
      <c r="H72" s="22"/>
    </row>
    <row r="73">
      <c r="A73" s="2">
        <v>94.0</v>
      </c>
      <c r="B73" s="3" t="s">
        <v>95</v>
      </c>
      <c r="C73" s="4" t="str">
        <f t="shared" si="2"/>
        <v>HCBX11</v>
      </c>
      <c r="D73" s="1" t="s">
        <v>589</v>
      </c>
      <c r="E73" s="1" t="s">
        <v>606</v>
      </c>
      <c r="F73" s="24" t="s">
        <v>140</v>
      </c>
      <c r="G73" s="22"/>
      <c r="H73" s="22"/>
    </row>
    <row r="74">
      <c r="A74" s="2">
        <v>94.0</v>
      </c>
      <c r="B74" s="3" t="s">
        <v>98</v>
      </c>
      <c r="C74" s="4" t="str">
        <f t="shared" si="2"/>
        <v>LRXY26</v>
      </c>
      <c r="D74" s="1" t="s">
        <v>589</v>
      </c>
      <c r="E74" s="1" t="s">
        <v>606</v>
      </c>
      <c r="F74" s="24" t="s">
        <v>140</v>
      </c>
      <c r="G74" s="22"/>
      <c r="H74" s="22"/>
    </row>
    <row r="75">
      <c r="A75" s="2">
        <v>94.0</v>
      </c>
      <c r="B75" s="3" t="s">
        <v>96</v>
      </c>
      <c r="C75" s="1" t="str">
        <f t="shared" si="2"/>
        <v>SDYY74</v>
      </c>
      <c r="D75" s="1" t="s">
        <v>586</v>
      </c>
      <c r="E75" s="181"/>
      <c r="F75" s="24" t="s">
        <v>88</v>
      </c>
      <c r="G75" s="22"/>
      <c r="H75" s="22"/>
    </row>
    <row r="76">
      <c r="A76" s="2">
        <v>98.0</v>
      </c>
      <c r="B76" s="3" t="s">
        <v>99</v>
      </c>
      <c r="C76" s="1" t="str">
        <f t="shared" si="2"/>
        <v>LSVH23</v>
      </c>
      <c r="D76" s="1" t="s">
        <v>586</v>
      </c>
      <c r="E76" s="181"/>
      <c r="F76" s="24" t="s">
        <v>88</v>
      </c>
      <c r="G76" s="22"/>
      <c r="H76" s="22"/>
    </row>
    <row r="77">
      <c r="A77" s="2">
        <v>98.0</v>
      </c>
      <c r="B77" s="3" t="s">
        <v>100</v>
      </c>
      <c r="C77" s="1" t="str">
        <f t="shared" si="2"/>
        <v>LXGS39</v>
      </c>
      <c r="D77" s="1" t="s">
        <v>586</v>
      </c>
      <c r="E77" s="181"/>
      <c r="F77" s="24" t="s">
        <v>88</v>
      </c>
      <c r="G77" s="22"/>
      <c r="H77" s="22"/>
    </row>
    <row r="78">
      <c r="A78" s="2">
        <v>98.0</v>
      </c>
      <c r="B78" s="3" t="s">
        <v>101</v>
      </c>
      <c r="C78" s="1" t="str">
        <f t="shared" si="2"/>
        <v>PCJZ43</v>
      </c>
      <c r="D78" s="1" t="s">
        <v>586</v>
      </c>
      <c r="E78" s="181"/>
      <c r="F78" s="24" t="s">
        <v>88</v>
      </c>
      <c r="G78" s="22"/>
      <c r="H78" s="22"/>
    </row>
    <row r="79">
      <c r="A79" s="2">
        <v>98.0</v>
      </c>
      <c r="B79" s="3" t="s">
        <v>607</v>
      </c>
      <c r="C79" s="1" t="str">
        <f t="shared" si="2"/>
        <v>PHSG17</v>
      </c>
      <c r="D79" s="1" t="s">
        <v>586</v>
      </c>
      <c r="E79" s="1" t="s">
        <v>608</v>
      </c>
      <c r="F79" s="24" t="s">
        <v>88</v>
      </c>
      <c r="G79" s="22"/>
      <c r="H79" s="22"/>
    </row>
    <row r="80">
      <c r="A80" s="2">
        <v>98.0</v>
      </c>
      <c r="B80" s="3" t="s">
        <v>103</v>
      </c>
      <c r="C80" s="1" t="str">
        <f t="shared" si="2"/>
        <v>RBYF40</v>
      </c>
      <c r="D80" s="1" t="s">
        <v>586</v>
      </c>
      <c r="E80" s="181"/>
      <c r="F80" s="24" t="s">
        <v>88</v>
      </c>
      <c r="G80" s="22"/>
      <c r="H80" s="22"/>
    </row>
    <row r="81">
      <c r="A81" s="2">
        <v>98.0</v>
      </c>
      <c r="B81" s="3" t="s">
        <v>104</v>
      </c>
      <c r="C81" s="1" t="str">
        <f t="shared" si="2"/>
        <v>SKXW43</v>
      </c>
      <c r="D81" s="1" t="s">
        <v>586</v>
      </c>
      <c r="E81" s="181"/>
      <c r="F81" s="24" t="s">
        <v>88</v>
      </c>
      <c r="G81" s="22"/>
      <c r="H81" s="22"/>
    </row>
    <row r="82">
      <c r="A82" s="2">
        <v>98.0</v>
      </c>
      <c r="B82" s="3" t="s">
        <v>105</v>
      </c>
      <c r="C82" s="1" t="str">
        <f t="shared" si="2"/>
        <v>TJDR58</v>
      </c>
      <c r="D82" s="1" t="s">
        <v>586</v>
      </c>
      <c r="E82" s="181"/>
      <c r="F82" s="24" t="s">
        <v>88</v>
      </c>
      <c r="G82" s="22"/>
      <c r="H82" s="22"/>
    </row>
    <row r="83">
      <c r="A83" s="2">
        <v>98.0</v>
      </c>
      <c r="B83" s="53" t="s">
        <v>160</v>
      </c>
      <c r="C83" s="1" t="str">
        <f t="shared" si="2"/>
        <v>RTTR83</v>
      </c>
      <c r="D83" s="1" t="s">
        <v>589</v>
      </c>
      <c r="E83" s="181"/>
      <c r="F83" s="24"/>
      <c r="G83" s="22"/>
      <c r="H83" s="22"/>
    </row>
    <row r="84">
      <c r="A84" s="2">
        <v>98.0</v>
      </c>
      <c r="B84" s="53" t="s">
        <v>102</v>
      </c>
      <c r="C84" s="1" t="str">
        <f t="shared" si="2"/>
        <v>TRPP43</v>
      </c>
      <c r="D84" s="1" t="s">
        <v>586</v>
      </c>
      <c r="E84" s="181"/>
      <c r="F84" s="24"/>
      <c r="G84" s="22"/>
      <c r="H84" s="22"/>
    </row>
    <row r="85">
      <c r="A85" s="2">
        <v>98.0</v>
      </c>
      <c r="B85" s="53" t="s">
        <v>162</v>
      </c>
      <c r="C85" s="1" t="str">
        <f t="shared" si="2"/>
        <v>VKJF15</v>
      </c>
      <c r="D85" s="1" t="s">
        <v>589</v>
      </c>
      <c r="E85" s="181"/>
      <c r="F85" s="24"/>
      <c r="G85" s="22"/>
      <c r="H85" s="22"/>
    </row>
    <row r="86">
      <c r="A86" s="2">
        <v>98.0</v>
      </c>
      <c r="B86" s="47" t="s">
        <v>164</v>
      </c>
      <c r="C86" s="1" t="str">
        <f t="shared" si="2"/>
        <v>RPWK21</v>
      </c>
      <c r="D86" s="1" t="s">
        <v>586</v>
      </c>
      <c r="E86" s="181"/>
      <c r="F86" s="24"/>
      <c r="G86" s="22"/>
      <c r="H86" s="22"/>
    </row>
    <row r="87">
      <c r="A87" s="2">
        <v>98.0</v>
      </c>
      <c r="B87" s="47" t="s">
        <v>166</v>
      </c>
      <c r="C87" s="1" t="str">
        <f t="shared" si="2"/>
        <v>PRFC70</v>
      </c>
      <c r="D87" s="1" t="s">
        <v>586</v>
      </c>
      <c r="E87" s="181"/>
      <c r="F87" s="24"/>
      <c r="G87" s="22"/>
      <c r="H87" s="22"/>
    </row>
    <row r="88">
      <c r="A88" s="2">
        <v>98.0</v>
      </c>
      <c r="B88" s="3" t="s">
        <v>106</v>
      </c>
      <c r="C88" s="1" t="str">
        <f t="shared" si="2"/>
        <v>TWRJ22</v>
      </c>
      <c r="D88" s="1" t="s">
        <v>586</v>
      </c>
      <c r="E88" s="181"/>
      <c r="F88" s="24" t="s">
        <v>88</v>
      </c>
      <c r="G88" s="22"/>
      <c r="H88" s="22"/>
    </row>
    <row r="89">
      <c r="A89" s="2">
        <v>99.0</v>
      </c>
      <c r="B89" s="3" t="s">
        <v>107</v>
      </c>
      <c r="C89" s="1" t="str">
        <f t="shared" si="2"/>
        <v>JTYF43</v>
      </c>
      <c r="D89" s="1" t="s">
        <v>586</v>
      </c>
      <c r="E89" s="1" t="s">
        <v>609</v>
      </c>
      <c r="F89" s="24" t="s">
        <v>88</v>
      </c>
      <c r="G89" s="22"/>
      <c r="H89" s="22"/>
    </row>
    <row r="90">
      <c r="A90" s="2">
        <v>99.0</v>
      </c>
      <c r="B90" s="3" t="s">
        <v>108</v>
      </c>
      <c r="C90" s="1" t="str">
        <f t="shared" si="2"/>
        <v>LHZW29</v>
      </c>
      <c r="D90" s="1" t="s">
        <v>586</v>
      </c>
      <c r="E90" s="181"/>
      <c r="F90" s="24" t="s">
        <v>88</v>
      </c>
      <c r="G90" s="22"/>
      <c r="H90" s="22"/>
    </row>
    <row r="91">
      <c r="A91" s="2">
        <v>99.0</v>
      </c>
      <c r="B91" s="3" t="s">
        <v>109</v>
      </c>
      <c r="C91" s="1" t="str">
        <f t="shared" si="2"/>
        <v>LLXD43</v>
      </c>
      <c r="D91" s="1" t="s">
        <v>586</v>
      </c>
      <c r="E91" s="181"/>
      <c r="F91" s="24" t="s">
        <v>88</v>
      </c>
      <c r="G91" s="22"/>
      <c r="H91" s="22"/>
    </row>
    <row r="92">
      <c r="A92" s="2">
        <v>99.0</v>
      </c>
      <c r="B92" s="3" t="s">
        <v>110</v>
      </c>
      <c r="C92" s="1" t="str">
        <f t="shared" si="2"/>
        <v>RFCG91</v>
      </c>
      <c r="D92" s="1" t="s">
        <v>589</v>
      </c>
      <c r="E92" s="1" t="s">
        <v>136</v>
      </c>
      <c r="F92" s="24" t="s">
        <v>140</v>
      </c>
      <c r="G92" s="22"/>
      <c r="H92" s="22"/>
    </row>
    <row r="93">
      <c r="A93" s="2">
        <v>99.0</v>
      </c>
      <c r="B93" s="3" t="s">
        <v>111</v>
      </c>
      <c r="C93" s="1" t="str">
        <f t="shared" si="2"/>
        <v>RHTD68</v>
      </c>
      <c r="D93" s="1" t="s">
        <v>586</v>
      </c>
      <c r="E93" s="1" t="s">
        <v>610</v>
      </c>
      <c r="F93" s="24" t="s">
        <v>88</v>
      </c>
      <c r="G93" s="22"/>
      <c r="H93" s="22"/>
    </row>
    <row r="94">
      <c r="A94" s="2">
        <v>99.0</v>
      </c>
      <c r="B94" s="3" t="s">
        <v>113</v>
      </c>
      <c r="C94" s="1" t="str">
        <f t="shared" si="2"/>
        <v>RZGZ30</v>
      </c>
      <c r="D94" s="1" t="s">
        <v>589</v>
      </c>
      <c r="E94" s="1" t="s">
        <v>611</v>
      </c>
      <c r="F94" s="24" t="s">
        <v>140</v>
      </c>
      <c r="G94" s="22"/>
      <c r="H94" s="22"/>
    </row>
    <row r="95">
      <c r="A95" s="2">
        <v>45.0</v>
      </c>
      <c r="B95" s="1" t="s">
        <v>612</v>
      </c>
      <c r="C95" s="1" t="s">
        <v>327</v>
      </c>
      <c r="D95" s="1" t="s">
        <v>586</v>
      </c>
      <c r="E95" s="181"/>
      <c r="F95" s="24" t="s">
        <v>88</v>
      </c>
      <c r="G95" s="22"/>
      <c r="H95" s="22"/>
    </row>
    <row r="96">
      <c r="A96" s="2">
        <v>45.0</v>
      </c>
      <c r="B96" s="1" t="s">
        <v>613</v>
      </c>
      <c r="C96" s="1" t="s">
        <v>325</v>
      </c>
      <c r="D96" s="1" t="s">
        <v>586</v>
      </c>
      <c r="E96" s="181"/>
      <c r="F96" s="24" t="s">
        <v>88</v>
      </c>
      <c r="G96" s="22"/>
      <c r="H96" s="22"/>
    </row>
    <row r="97">
      <c r="A97" s="2">
        <v>45.0</v>
      </c>
      <c r="B97" s="1" t="s">
        <v>614</v>
      </c>
      <c r="C97" s="1" t="s">
        <v>326</v>
      </c>
      <c r="D97" s="1" t="s">
        <v>586</v>
      </c>
      <c r="E97" s="181"/>
      <c r="F97" s="24" t="s">
        <v>88</v>
      </c>
      <c r="G97" s="22"/>
      <c r="H97" s="22"/>
    </row>
    <row r="98">
      <c r="A98" s="2">
        <v>45.0</v>
      </c>
      <c r="B98" s="1" t="s">
        <v>615</v>
      </c>
      <c r="C98" s="1" t="s">
        <v>329</v>
      </c>
      <c r="D98" s="1" t="s">
        <v>586</v>
      </c>
      <c r="E98" s="181"/>
      <c r="F98" s="24" t="s">
        <v>88</v>
      </c>
      <c r="G98" s="22"/>
      <c r="H98" s="22"/>
    </row>
    <row r="99">
      <c r="C99" s="5">
        <v>19.0</v>
      </c>
      <c r="D99" s="5" t="s">
        <v>616</v>
      </c>
      <c r="F99" s="22"/>
      <c r="G99" s="22"/>
      <c r="H99" s="22"/>
    </row>
    <row r="100">
      <c r="F100" s="22"/>
      <c r="G100" s="22"/>
      <c r="H100" s="22"/>
    </row>
    <row r="101">
      <c r="F101" s="22"/>
    </row>
    <row r="102">
      <c r="F102" s="22"/>
    </row>
    <row r="103">
      <c r="F103" s="22"/>
    </row>
    <row r="104">
      <c r="F104" s="22"/>
    </row>
    <row r="105">
      <c r="F105" s="22"/>
    </row>
    <row r="106">
      <c r="F106" s="22"/>
    </row>
    <row r="107">
      <c r="F107" s="22"/>
    </row>
    <row r="108">
      <c r="F108" s="22"/>
    </row>
    <row r="109">
      <c r="F109" s="22"/>
    </row>
    <row r="110">
      <c r="F110" s="22"/>
    </row>
    <row r="111">
      <c r="F111" s="22"/>
    </row>
    <row r="112">
      <c r="F112" s="22"/>
    </row>
    <row r="113">
      <c r="F113" s="22"/>
    </row>
    <row r="114">
      <c r="F114" s="22"/>
    </row>
    <row r="115">
      <c r="F115" s="22"/>
    </row>
    <row r="116">
      <c r="F116" s="22"/>
    </row>
    <row r="117">
      <c r="F117" s="22"/>
    </row>
    <row r="118">
      <c r="F118" s="22"/>
    </row>
    <row r="119">
      <c r="F119" s="22"/>
    </row>
    <row r="120">
      <c r="F120" s="22"/>
    </row>
    <row r="121">
      <c r="F121" s="22"/>
    </row>
    <row r="122">
      <c r="F122" s="22"/>
    </row>
    <row r="123">
      <c r="F123" s="22"/>
    </row>
    <row r="124">
      <c r="F124" s="22"/>
    </row>
    <row r="125">
      <c r="F125" s="22"/>
    </row>
    <row r="126">
      <c r="F126" s="22"/>
    </row>
    <row r="127">
      <c r="F127" s="22"/>
    </row>
    <row r="128">
      <c r="F128" s="22"/>
    </row>
    <row r="129">
      <c r="F129" s="22"/>
    </row>
    <row r="130">
      <c r="F130" s="22"/>
    </row>
    <row r="131">
      <c r="F131" s="22"/>
    </row>
    <row r="132">
      <c r="F132" s="22"/>
    </row>
    <row r="133">
      <c r="F133" s="22"/>
    </row>
    <row r="134">
      <c r="F134" s="22"/>
    </row>
    <row r="135">
      <c r="F135" s="22"/>
    </row>
    <row r="136">
      <c r="F136" s="22"/>
    </row>
    <row r="137">
      <c r="F137" s="22"/>
    </row>
    <row r="138">
      <c r="F138" s="22"/>
    </row>
    <row r="139">
      <c r="F139" s="22"/>
    </row>
    <row r="140">
      <c r="F140" s="22"/>
    </row>
    <row r="141">
      <c r="F141" s="22"/>
    </row>
    <row r="142">
      <c r="F142" s="22"/>
    </row>
    <row r="143">
      <c r="F143" s="22"/>
    </row>
    <row r="144">
      <c r="F144" s="22"/>
    </row>
    <row r="145">
      <c r="F145" s="22"/>
    </row>
    <row r="146">
      <c r="F146" s="22"/>
    </row>
    <row r="147">
      <c r="F147" s="22"/>
    </row>
    <row r="148">
      <c r="F148" s="22"/>
    </row>
    <row r="149">
      <c r="F149" s="22"/>
    </row>
    <row r="150">
      <c r="F150" s="22"/>
    </row>
    <row r="151">
      <c r="F151" s="22"/>
    </row>
    <row r="152">
      <c r="F152" s="22"/>
    </row>
    <row r="153">
      <c r="F153" s="22"/>
    </row>
    <row r="154">
      <c r="F154" s="22"/>
    </row>
    <row r="155">
      <c r="F155" s="22"/>
    </row>
    <row r="156">
      <c r="F156" s="22"/>
    </row>
    <row r="157">
      <c r="F157" s="22"/>
    </row>
    <row r="158">
      <c r="F158" s="22"/>
    </row>
    <row r="159">
      <c r="F159" s="22"/>
    </row>
    <row r="160">
      <c r="F160" s="22"/>
    </row>
    <row r="161">
      <c r="F161" s="22"/>
    </row>
    <row r="162">
      <c r="F162" s="22"/>
    </row>
    <row r="163">
      <c r="F163" s="22"/>
    </row>
    <row r="164">
      <c r="F164" s="22"/>
    </row>
    <row r="165">
      <c r="F165" s="22"/>
    </row>
    <row r="166">
      <c r="F166" s="22"/>
    </row>
    <row r="167">
      <c r="F167" s="22"/>
    </row>
    <row r="168">
      <c r="F168" s="22"/>
    </row>
    <row r="169">
      <c r="F169" s="22"/>
    </row>
    <row r="170">
      <c r="F170" s="22"/>
    </row>
    <row r="171">
      <c r="F171" s="22"/>
    </row>
    <row r="172">
      <c r="F172" s="22"/>
    </row>
    <row r="173">
      <c r="F173" s="22"/>
    </row>
    <row r="174">
      <c r="F174" s="22"/>
    </row>
    <row r="175">
      <c r="F175" s="22"/>
    </row>
    <row r="176">
      <c r="F176" s="22"/>
    </row>
    <row r="177">
      <c r="F177" s="22"/>
    </row>
    <row r="178">
      <c r="F178" s="22"/>
    </row>
    <row r="179">
      <c r="F179" s="22"/>
    </row>
    <row r="180">
      <c r="F180" s="22"/>
    </row>
    <row r="181">
      <c r="F181" s="22"/>
    </row>
    <row r="182">
      <c r="F182" s="22"/>
    </row>
    <row r="183">
      <c r="F183" s="22"/>
    </row>
    <row r="184">
      <c r="F184" s="22"/>
    </row>
    <row r="185">
      <c r="F185" s="22"/>
    </row>
    <row r="186">
      <c r="F186" s="22"/>
    </row>
    <row r="187">
      <c r="F187" s="22"/>
    </row>
    <row r="188">
      <c r="F188" s="22"/>
    </row>
    <row r="189">
      <c r="F189" s="22"/>
    </row>
    <row r="190">
      <c r="F190" s="22"/>
    </row>
    <row r="191">
      <c r="F191" s="22"/>
    </row>
    <row r="192">
      <c r="F192" s="22"/>
    </row>
    <row r="193">
      <c r="F193" s="22"/>
    </row>
    <row r="194">
      <c r="F194" s="22"/>
    </row>
    <row r="195">
      <c r="F195" s="22"/>
    </row>
    <row r="196">
      <c r="F196" s="22"/>
    </row>
    <row r="197">
      <c r="F197" s="22"/>
    </row>
    <row r="198">
      <c r="F198" s="22"/>
    </row>
    <row r="199">
      <c r="F199" s="22"/>
    </row>
    <row r="200">
      <c r="F200" s="22"/>
    </row>
    <row r="201">
      <c r="F201" s="22"/>
    </row>
    <row r="202">
      <c r="F202" s="22"/>
    </row>
    <row r="203">
      <c r="F203" s="22"/>
    </row>
    <row r="204">
      <c r="F204" s="22"/>
    </row>
    <row r="205">
      <c r="F205" s="22"/>
    </row>
    <row r="206">
      <c r="F206" s="22"/>
    </row>
    <row r="207">
      <c r="F207" s="22"/>
    </row>
    <row r="208">
      <c r="F208" s="22"/>
    </row>
    <row r="209">
      <c r="F209" s="22"/>
    </row>
    <row r="210">
      <c r="F210" s="22"/>
    </row>
    <row r="211">
      <c r="F211" s="22"/>
    </row>
    <row r="212">
      <c r="F212" s="22"/>
    </row>
    <row r="213">
      <c r="F213" s="22"/>
    </row>
    <row r="214">
      <c r="F214" s="22"/>
    </row>
    <row r="215">
      <c r="F215" s="22"/>
    </row>
    <row r="216">
      <c r="F216" s="22"/>
    </row>
    <row r="217">
      <c r="F217" s="22"/>
    </row>
    <row r="218">
      <c r="F218" s="22"/>
    </row>
    <row r="219">
      <c r="F219" s="22"/>
    </row>
    <row r="220">
      <c r="F220" s="22"/>
    </row>
    <row r="221">
      <c r="F221" s="22"/>
    </row>
    <row r="222">
      <c r="F222" s="22"/>
    </row>
    <row r="223">
      <c r="F223" s="22"/>
    </row>
    <row r="224">
      <c r="F224" s="22"/>
    </row>
    <row r="225">
      <c r="F225" s="22"/>
    </row>
    <row r="226">
      <c r="F226" s="22"/>
    </row>
    <row r="227">
      <c r="F227" s="22"/>
    </row>
    <row r="228">
      <c r="F228" s="22"/>
    </row>
    <row r="229">
      <c r="F229" s="22"/>
    </row>
    <row r="230">
      <c r="F230" s="22"/>
    </row>
    <row r="231">
      <c r="F231" s="22"/>
    </row>
    <row r="232">
      <c r="F232" s="22"/>
    </row>
    <row r="233">
      <c r="F233" s="22"/>
    </row>
    <row r="234">
      <c r="F234" s="22"/>
    </row>
    <row r="235">
      <c r="F235" s="22"/>
    </row>
    <row r="236">
      <c r="F236" s="22"/>
    </row>
    <row r="237">
      <c r="F237" s="22"/>
    </row>
    <row r="238">
      <c r="F238" s="22"/>
    </row>
    <row r="239">
      <c r="F239" s="22"/>
    </row>
    <row r="240">
      <c r="F240" s="22"/>
    </row>
    <row r="241">
      <c r="F241" s="22"/>
    </row>
    <row r="242">
      <c r="F242" s="22"/>
    </row>
    <row r="243">
      <c r="F243" s="22"/>
    </row>
    <row r="244">
      <c r="F244" s="22"/>
    </row>
    <row r="245">
      <c r="F245" s="22"/>
    </row>
    <row r="246">
      <c r="F246" s="22"/>
    </row>
    <row r="247">
      <c r="F247" s="22"/>
    </row>
    <row r="248">
      <c r="F248" s="22"/>
    </row>
    <row r="249">
      <c r="F249" s="22"/>
    </row>
    <row r="250">
      <c r="F250" s="22"/>
    </row>
    <row r="251">
      <c r="F251" s="22"/>
    </row>
    <row r="252">
      <c r="F252" s="22"/>
    </row>
    <row r="253">
      <c r="F253" s="22"/>
    </row>
    <row r="254">
      <c r="F254" s="22"/>
    </row>
    <row r="255">
      <c r="F255" s="22"/>
    </row>
    <row r="256">
      <c r="F256" s="22"/>
    </row>
    <row r="257">
      <c r="F257" s="22"/>
    </row>
    <row r="258">
      <c r="F258" s="22"/>
    </row>
    <row r="259">
      <c r="F259" s="22"/>
    </row>
    <row r="260">
      <c r="F260" s="22"/>
    </row>
    <row r="261">
      <c r="F261" s="22"/>
    </row>
    <row r="262">
      <c r="F262" s="22"/>
    </row>
    <row r="263">
      <c r="F263" s="22"/>
    </row>
    <row r="264">
      <c r="F264" s="22"/>
    </row>
    <row r="265">
      <c r="F265" s="22"/>
    </row>
    <row r="266">
      <c r="F266" s="22"/>
    </row>
    <row r="267">
      <c r="F267" s="22"/>
    </row>
    <row r="268">
      <c r="F268" s="22"/>
    </row>
    <row r="269">
      <c r="F269" s="22"/>
    </row>
    <row r="270">
      <c r="F270" s="22"/>
    </row>
    <row r="271">
      <c r="F271" s="22"/>
    </row>
    <row r="272">
      <c r="F272" s="22"/>
    </row>
    <row r="273">
      <c r="F273" s="22"/>
    </row>
    <row r="274">
      <c r="F274" s="22"/>
    </row>
    <row r="275">
      <c r="F275" s="22"/>
    </row>
    <row r="276">
      <c r="F276" s="22"/>
    </row>
    <row r="277">
      <c r="F277" s="22"/>
    </row>
    <row r="278">
      <c r="F278" s="22"/>
    </row>
    <row r="279">
      <c r="F279" s="22"/>
    </row>
    <row r="280">
      <c r="F280" s="22"/>
    </row>
    <row r="281">
      <c r="F281" s="22"/>
    </row>
    <row r="282">
      <c r="F282" s="22"/>
    </row>
    <row r="283">
      <c r="F283" s="22"/>
    </row>
    <row r="284">
      <c r="F284" s="22"/>
    </row>
    <row r="285">
      <c r="F285" s="22"/>
    </row>
    <row r="286">
      <c r="F286" s="22"/>
    </row>
    <row r="287">
      <c r="F287" s="22"/>
    </row>
    <row r="288">
      <c r="F288" s="22"/>
    </row>
    <row r="289">
      <c r="F289" s="22"/>
    </row>
    <row r="290">
      <c r="F290" s="22"/>
    </row>
    <row r="291">
      <c r="F291" s="22"/>
    </row>
    <row r="292">
      <c r="F292" s="22"/>
    </row>
    <row r="293">
      <c r="F293" s="22"/>
    </row>
    <row r="294">
      <c r="F294" s="22"/>
    </row>
    <row r="295">
      <c r="F295" s="22"/>
    </row>
    <row r="296">
      <c r="F296" s="22"/>
    </row>
    <row r="297">
      <c r="F297" s="22"/>
    </row>
    <row r="298">
      <c r="F298" s="22"/>
    </row>
    <row r="299">
      <c r="F299" s="22"/>
    </row>
    <row r="300">
      <c r="F300" s="22"/>
    </row>
    <row r="301">
      <c r="F301" s="22"/>
    </row>
    <row r="302">
      <c r="F302" s="22"/>
    </row>
    <row r="303">
      <c r="F303" s="22"/>
    </row>
    <row r="304">
      <c r="F304" s="22"/>
    </row>
    <row r="305">
      <c r="F305" s="22"/>
    </row>
    <row r="306">
      <c r="F306" s="22"/>
    </row>
    <row r="307">
      <c r="F307" s="22"/>
    </row>
    <row r="308">
      <c r="F308" s="22"/>
    </row>
    <row r="309">
      <c r="F309" s="22"/>
    </row>
    <row r="310">
      <c r="F310" s="22"/>
    </row>
    <row r="311">
      <c r="F311" s="22"/>
    </row>
    <row r="312">
      <c r="F312" s="22"/>
    </row>
    <row r="313">
      <c r="F313" s="22"/>
    </row>
    <row r="314">
      <c r="F314" s="22"/>
    </row>
    <row r="315">
      <c r="F315" s="22"/>
    </row>
    <row r="316">
      <c r="F316" s="22"/>
    </row>
    <row r="317">
      <c r="F317" s="22"/>
    </row>
    <row r="318">
      <c r="F318" s="22"/>
    </row>
    <row r="319">
      <c r="F319" s="22"/>
    </row>
    <row r="320">
      <c r="F320" s="22"/>
    </row>
    <row r="321">
      <c r="F321" s="22"/>
    </row>
    <row r="322">
      <c r="F322" s="22"/>
    </row>
    <row r="323">
      <c r="F323" s="22"/>
    </row>
    <row r="324">
      <c r="F324" s="22"/>
    </row>
    <row r="325">
      <c r="F325" s="22"/>
    </row>
    <row r="326">
      <c r="F326" s="22"/>
    </row>
    <row r="327">
      <c r="F327" s="22"/>
    </row>
    <row r="328">
      <c r="F328" s="22"/>
    </row>
    <row r="329">
      <c r="F329" s="22"/>
    </row>
    <row r="330">
      <c r="F330" s="22"/>
    </row>
    <row r="331">
      <c r="F331" s="22"/>
    </row>
    <row r="332">
      <c r="F332" s="22"/>
    </row>
    <row r="333">
      <c r="F333" s="22"/>
    </row>
    <row r="334">
      <c r="F334" s="22"/>
    </row>
    <row r="335">
      <c r="F335" s="22"/>
    </row>
    <row r="336">
      <c r="F336" s="22"/>
    </row>
    <row r="337">
      <c r="F337" s="22"/>
    </row>
    <row r="338">
      <c r="F338" s="22"/>
    </row>
    <row r="339">
      <c r="F339" s="22"/>
    </row>
    <row r="340">
      <c r="F340" s="22"/>
    </row>
    <row r="341">
      <c r="F341" s="22"/>
    </row>
    <row r="342">
      <c r="F342" s="22"/>
    </row>
    <row r="343">
      <c r="F343" s="22"/>
    </row>
    <row r="344">
      <c r="F344" s="22"/>
    </row>
    <row r="345">
      <c r="F345" s="22"/>
    </row>
    <row r="346">
      <c r="F346" s="22"/>
    </row>
    <row r="347">
      <c r="F347" s="22"/>
    </row>
    <row r="348">
      <c r="F348" s="22"/>
    </row>
    <row r="349">
      <c r="F349" s="22"/>
    </row>
    <row r="350">
      <c r="F350" s="22"/>
    </row>
    <row r="351">
      <c r="F351" s="22"/>
    </row>
    <row r="352">
      <c r="F352" s="22"/>
    </row>
    <row r="353">
      <c r="F353" s="22"/>
    </row>
    <row r="354">
      <c r="F354" s="22"/>
    </row>
    <row r="355">
      <c r="F355" s="22"/>
    </row>
    <row r="356">
      <c r="F356" s="22"/>
    </row>
    <row r="357">
      <c r="F357" s="22"/>
    </row>
    <row r="358">
      <c r="F358" s="22"/>
    </row>
    <row r="359">
      <c r="F359" s="22"/>
    </row>
    <row r="360">
      <c r="F360" s="22"/>
    </row>
    <row r="361">
      <c r="F361" s="22"/>
    </row>
    <row r="362">
      <c r="F362" s="22"/>
    </row>
    <row r="363">
      <c r="F363" s="22"/>
    </row>
    <row r="364">
      <c r="F364" s="22"/>
    </row>
    <row r="365">
      <c r="F365" s="22"/>
    </row>
    <row r="366">
      <c r="F366" s="22"/>
    </row>
    <row r="367">
      <c r="F367" s="22"/>
    </row>
    <row r="368">
      <c r="F368" s="22"/>
    </row>
    <row r="369">
      <c r="F369" s="22"/>
    </row>
    <row r="370">
      <c r="F370" s="22"/>
    </row>
    <row r="371">
      <c r="F371" s="22"/>
    </row>
    <row r="372">
      <c r="F372" s="22"/>
    </row>
    <row r="373">
      <c r="F373" s="22"/>
    </row>
    <row r="374">
      <c r="F374" s="22"/>
    </row>
    <row r="375">
      <c r="F375" s="22"/>
    </row>
    <row r="376">
      <c r="F376" s="22"/>
    </row>
    <row r="377">
      <c r="F377" s="22"/>
    </row>
    <row r="378">
      <c r="F378" s="22"/>
    </row>
    <row r="379">
      <c r="F379" s="22"/>
    </row>
    <row r="380">
      <c r="F380" s="22"/>
    </row>
    <row r="381">
      <c r="F381" s="22"/>
    </row>
    <row r="382">
      <c r="F382" s="22"/>
    </row>
    <row r="383">
      <c r="F383" s="22"/>
    </row>
    <row r="384">
      <c r="F384" s="22"/>
    </row>
    <row r="385">
      <c r="F385" s="22"/>
    </row>
    <row r="386">
      <c r="F386" s="22"/>
    </row>
    <row r="387">
      <c r="F387" s="22"/>
    </row>
    <row r="388">
      <c r="F388" s="22"/>
    </row>
    <row r="389">
      <c r="F389" s="22"/>
    </row>
    <row r="390">
      <c r="F390" s="22"/>
    </row>
    <row r="391">
      <c r="F391" s="22"/>
    </row>
    <row r="392">
      <c r="F392" s="22"/>
    </row>
    <row r="393">
      <c r="F393" s="22"/>
    </row>
    <row r="394">
      <c r="F394" s="22"/>
    </row>
    <row r="395">
      <c r="F395" s="22"/>
    </row>
    <row r="396">
      <c r="F396" s="22"/>
    </row>
    <row r="397">
      <c r="F397" s="22"/>
    </row>
    <row r="398">
      <c r="F398" s="22"/>
    </row>
    <row r="399">
      <c r="F399" s="22"/>
    </row>
    <row r="400">
      <c r="F400" s="22"/>
    </row>
    <row r="401">
      <c r="F401" s="22"/>
    </row>
    <row r="402">
      <c r="F402" s="22"/>
    </row>
    <row r="403">
      <c r="F403" s="22"/>
    </row>
    <row r="404">
      <c r="F404" s="22"/>
    </row>
    <row r="405">
      <c r="F405" s="22"/>
    </row>
    <row r="406">
      <c r="F406" s="22"/>
    </row>
    <row r="407">
      <c r="F407" s="22"/>
    </row>
    <row r="408">
      <c r="F408" s="22"/>
    </row>
    <row r="409">
      <c r="F409" s="22"/>
    </row>
    <row r="410">
      <c r="F410" s="22"/>
    </row>
    <row r="411">
      <c r="F411" s="22"/>
    </row>
    <row r="412">
      <c r="F412" s="22"/>
    </row>
    <row r="413">
      <c r="F413" s="22"/>
    </row>
    <row r="414">
      <c r="F414" s="22"/>
    </row>
    <row r="415">
      <c r="F415" s="22"/>
    </row>
    <row r="416">
      <c r="F416" s="22"/>
    </row>
    <row r="417">
      <c r="F417" s="22"/>
    </row>
    <row r="418">
      <c r="F418" s="22"/>
    </row>
    <row r="419">
      <c r="F419" s="22"/>
    </row>
    <row r="420">
      <c r="F420" s="22"/>
    </row>
    <row r="421">
      <c r="F421" s="22"/>
    </row>
    <row r="422">
      <c r="F422" s="22"/>
    </row>
    <row r="423">
      <c r="F423" s="22"/>
    </row>
    <row r="424">
      <c r="F424" s="22"/>
    </row>
    <row r="425">
      <c r="F425" s="22"/>
    </row>
    <row r="426">
      <c r="F426" s="22"/>
    </row>
    <row r="427">
      <c r="F427" s="22"/>
    </row>
    <row r="428">
      <c r="F428" s="22"/>
    </row>
    <row r="429">
      <c r="F429" s="22"/>
    </row>
    <row r="430">
      <c r="F430" s="22"/>
    </row>
    <row r="431">
      <c r="F431" s="22"/>
    </row>
    <row r="432">
      <c r="F432" s="22"/>
    </row>
    <row r="433">
      <c r="F433" s="22"/>
    </row>
    <row r="434">
      <c r="F434" s="22"/>
    </row>
    <row r="435">
      <c r="F435" s="22"/>
    </row>
    <row r="436">
      <c r="F436" s="22"/>
    </row>
    <row r="437">
      <c r="F437" s="22"/>
    </row>
    <row r="438">
      <c r="F438" s="22"/>
    </row>
    <row r="439">
      <c r="F439" s="22"/>
    </row>
    <row r="440">
      <c r="F440" s="22"/>
    </row>
    <row r="441">
      <c r="F441" s="22"/>
    </row>
    <row r="442">
      <c r="F442" s="22"/>
    </row>
    <row r="443">
      <c r="F443" s="22"/>
    </row>
    <row r="444">
      <c r="F444" s="22"/>
    </row>
    <row r="445">
      <c r="F445" s="22"/>
    </row>
    <row r="446">
      <c r="F446" s="22"/>
    </row>
    <row r="447">
      <c r="F447" s="22"/>
    </row>
    <row r="448">
      <c r="F448" s="22"/>
    </row>
    <row r="449">
      <c r="F449" s="22"/>
    </row>
    <row r="450">
      <c r="F450" s="22"/>
    </row>
    <row r="451">
      <c r="F451" s="22"/>
    </row>
    <row r="452">
      <c r="F452" s="22"/>
    </row>
    <row r="453">
      <c r="F453" s="22"/>
    </row>
    <row r="454">
      <c r="F454" s="22"/>
    </row>
    <row r="455">
      <c r="F455" s="22"/>
    </row>
    <row r="456">
      <c r="F456" s="22"/>
    </row>
    <row r="457">
      <c r="F457" s="22"/>
    </row>
    <row r="458">
      <c r="F458" s="22"/>
    </row>
    <row r="459">
      <c r="F459" s="22"/>
    </row>
    <row r="460">
      <c r="F460" s="22"/>
    </row>
    <row r="461">
      <c r="F461" s="22"/>
    </row>
    <row r="462">
      <c r="F462" s="22"/>
    </row>
    <row r="463">
      <c r="F463" s="22"/>
    </row>
    <row r="464">
      <c r="F464" s="22"/>
    </row>
    <row r="465">
      <c r="F465" s="22"/>
    </row>
    <row r="466">
      <c r="F466" s="22"/>
    </row>
    <row r="467">
      <c r="F467" s="22"/>
    </row>
    <row r="468">
      <c r="F468" s="22"/>
    </row>
    <row r="469">
      <c r="F469" s="22"/>
    </row>
    <row r="470">
      <c r="F470" s="22"/>
    </row>
    <row r="471">
      <c r="F471" s="22"/>
    </row>
    <row r="472">
      <c r="F472" s="22"/>
    </row>
    <row r="473">
      <c r="F473" s="22"/>
    </row>
    <row r="474">
      <c r="F474" s="22"/>
    </row>
    <row r="475">
      <c r="F475" s="22"/>
    </row>
    <row r="476">
      <c r="F476" s="22"/>
    </row>
    <row r="477">
      <c r="F477" s="22"/>
    </row>
    <row r="478">
      <c r="F478" s="22"/>
    </row>
    <row r="479">
      <c r="F479" s="22"/>
    </row>
    <row r="480">
      <c r="F480" s="22"/>
    </row>
    <row r="481">
      <c r="F481" s="22"/>
    </row>
    <row r="482">
      <c r="F482" s="22"/>
    </row>
    <row r="483">
      <c r="F483" s="22"/>
    </row>
    <row r="484">
      <c r="F484" s="22"/>
    </row>
    <row r="485">
      <c r="F485" s="22"/>
    </row>
    <row r="486">
      <c r="F486" s="22"/>
    </row>
    <row r="487">
      <c r="F487" s="22"/>
    </row>
    <row r="488">
      <c r="F488" s="22"/>
    </row>
    <row r="489">
      <c r="F489" s="22"/>
    </row>
    <row r="490">
      <c r="F490" s="22"/>
    </row>
    <row r="491">
      <c r="F491" s="22"/>
    </row>
    <row r="492">
      <c r="F492" s="22"/>
    </row>
    <row r="493">
      <c r="F493" s="22"/>
    </row>
    <row r="494">
      <c r="F494" s="22"/>
    </row>
    <row r="495">
      <c r="F495" s="22"/>
    </row>
    <row r="496">
      <c r="F496" s="22"/>
    </row>
    <row r="497">
      <c r="F497" s="22"/>
    </row>
    <row r="498">
      <c r="F498" s="22"/>
    </row>
    <row r="499">
      <c r="F499" s="22"/>
    </row>
    <row r="500">
      <c r="F500" s="22"/>
    </row>
    <row r="501">
      <c r="F501" s="22"/>
    </row>
    <row r="502">
      <c r="F502" s="22"/>
    </row>
    <row r="503">
      <c r="F503" s="22"/>
    </row>
    <row r="504">
      <c r="F504" s="22"/>
    </row>
    <row r="505">
      <c r="F505" s="22"/>
    </row>
    <row r="506">
      <c r="F506" s="22"/>
    </row>
    <row r="507">
      <c r="F507" s="22"/>
    </row>
    <row r="508">
      <c r="F508" s="22"/>
    </row>
    <row r="509">
      <c r="F509" s="22"/>
    </row>
    <row r="510">
      <c r="F510" s="22"/>
    </row>
    <row r="511">
      <c r="F511" s="22"/>
    </row>
    <row r="512">
      <c r="F512" s="22"/>
    </row>
    <row r="513">
      <c r="F513" s="22"/>
    </row>
    <row r="514">
      <c r="F514" s="22"/>
    </row>
    <row r="515">
      <c r="F515" s="22"/>
    </row>
    <row r="516">
      <c r="F516" s="22"/>
    </row>
    <row r="517">
      <c r="F517" s="22"/>
    </row>
    <row r="518">
      <c r="F518" s="22"/>
    </row>
    <row r="519">
      <c r="F519" s="22"/>
    </row>
    <row r="520">
      <c r="F520" s="22"/>
    </row>
    <row r="521">
      <c r="F521" s="22"/>
    </row>
    <row r="522">
      <c r="F522" s="22"/>
    </row>
    <row r="523">
      <c r="F523" s="22"/>
    </row>
    <row r="524">
      <c r="F524" s="22"/>
    </row>
    <row r="525">
      <c r="F525" s="22"/>
    </row>
    <row r="526">
      <c r="F526" s="22"/>
    </row>
    <row r="527">
      <c r="F527" s="22"/>
    </row>
    <row r="528">
      <c r="F528" s="22"/>
    </row>
    <row r="529">
      <c r="F529" s="22"/>
    </row>
    <row r="530">
      <c r="F530" s="22"/>
    </row>
    <row r="531">
      <c r="F531" s="22"/>
    </row>
    <row r="532">
      <c r="F532" s="22"/>
    </row>
    <row r="533">
      <c r="F533" s="22"/>
    </row>
    <row r="534">
      <c r="F534" s="22"/>
    </row>
    <row r="535">
      <c r="F535" s="22"/>
    </row>
    <row r="536">
      <c r="F536" s="22"/>
    </row>
    <row r="537">
      <c r="F537" s="22"/>
    </row>
    <row r="538">
      <c r="F538" s="22"/>
    </row>
    <row r="539">
      <c r="F539" s="22"/>
    </row>
    <row r="540">
      <c r="F540" s="22"/>
    </row>
    <row r="541">
      <c r="F541" s="22"/>
    </row>
    <row r="542">
      <c r="F542" s="22"/>
    </row>
    <row r="543">
      <c r="F543" s="22"/>
    </row>
    <row r="544">
      <c r="F544" s="22"/>
    </row>
    <row r="545">
      <c r="F545" s="22"/>
    </row>
    <row r="546">
      <c r="F546" s="22"/>
    </row>
    <row r="547">
      <c r="F547" s="22"/>
    </row>
    <row r="548">
      <c r="F548" s="22"/>
    </row>
    <row r="549">
      <c r="F549" s="22"/>
    </row>
    <row r="550">
      <c r="F550" s="22"/>
    </row>
    <row r="551">
      <c r="F551" s="22"/>
    </row>
    <row r="552">
      <c r="F552" s="22"/>
    </row>
    <row r="553">
      <c r="F553" s="22"/>
    </row>
    <row r="554">
      <c r="F554" s="22"/>
    </row>
    <row r="555">
      <c r="F555" s="22"/>
    </row>
    <row r="556">
      <c r="F556" s="22"/>
    </row>
    <row r="557">
      <c r="F557" s="22"/>
    </row>
    <row r="558">
      <c r="F558" s="22"/>
    </row>
    <row r="559">
      <c r="F559" s="22"/>
    </row>
    <row r="560">
      <c r="F560" s="22"/>
    </row>
    <row r="561">
      <c r="F561" s="22"/>
    </row>
    <row r="562">
      <c r="F562" s="22"/>
    </row>
    <row r="563">
      <c r="F563" s="22"/>
    </row>
    <row r="564">
      <c r="F564" s="22"/>
    </row>
    <row r="565">
      <c r="F565" s="22"/>
    </row>
    <row r="566">
      <c r="F566" s="22"/>
    </row>
    <row r="567">
      <c r="F567" s="22"/>
    </row>
    <row r="568">
      <c r="F568" s="22"/>
    </row>
    <row r="569">
      <c r="F569" s="22"/>
    </row>
    <row r="570">
      <c r="F570" s="22"/>
    </row>
    <row r="571">
      <c r="F571" s="22"/>
    </row>
    <row r="572">
      <c r="F572" s="22"/>
    </row>
    <row r="573">
      <c r="F573" s="22"/>
    </row>
    <row r="574">
      <c r="F574" s="22"/>
    </row>
    <row r="575">
      <c r="F575" s="22"/>
    </row>
    <row r="576">
      <c r="F576" s="22"/>
    </row>
    <row r="577">
      <c r="F577" s="22"/>
    </row>
    <row r="578">
      <c r="F578" s="22"/>
    </row>
    <row r="579">
      <c r="F579" s="22"/>
    </row>
    <row r="580">
      <c r="F580" s="22"/>
    </row>
    <row r="581">
      <c r="F581" s="22"/>
    </row>
    <row r="582">
      <c r="F582" s="22"/>
    </row>
    <row r="583">
      <c r="F583" s="22"/>
    </row>
    <row r="584">
      <c r="F584" s="22"/>
    </row>
    <row r="585">
      <c r="F585" s="22"/>
    </row>
    <row r="586">
      <c r="F586" s="22"/>
    </row>
    <row r="587">
      <c r="F587" s="22"/>
    </row>
    <row r="588">
      <c r="F588" s="22"/>
    </row>
    <row r="589">
      <c r="F589" s="22"/>
    </row>
    <row r="590">
      <c r="F590" s="22"/>
    </row>
    <row r="591">
      <c r="F591" s="22"/>
    </row>
    <row r="592">
      <c r="F592" s="22"/>
    </row>
    <row r="593">
      <c r="F593" s="22"/>
    </row>
    <row r="594">
      <c r="F594" s="22"/>
    </row>
    <row r="595">
      <c r="F595" s="22"/>
    </row>
    <row r="596">
      <c r="F596" s="22"/>
    </row>
    <row r="597">
      <c r="F597" s="22"/>
    </row>
    <row r="598">
      <c r="F598" s="22"/>
    </row>
    <row r="599">
      <c r="F599" s="22"/>
    </row>
    <row r="600">
      <c r="F600" s="22"/>
    </row>
    <row r="601">
      <c r="F601" s="22"/>
    </row>
    <row r="602">
      <c r="F602" s="22"/>
    </row>
    <row r="603">
      <c r="F603" s="22"/>
    </row>
    <row r="604">
      <c r="F604" s="22"/>
    </row>
    <row r="605">
      <c r="F605" s="22"/>
    </row>
    <row r="606">
      <c r="F606" s="22"/>
    </row>
    <row r="607">
      <c r="F607" s="22"/>
    </row>
    <row r="608">
      <c r="F608" s="22"/>
    </row>
    <row r="609">
      <c r="F609" s="22"/>
    </row>
    <row r="610">
      <c r="F610" s="22"/>
    </row>
    <row r="611">
      <c r="F611" s="22"/>
    </row>
    <row r="612">
      <c r="F612" s="22"/>
    </row>
    <row r="613">
      <c r="F613" s="22"/>
    </row>
    <row r="614">
      <c r="F614" s="22"/>
    </row>
    <row r="615">
      <c r="F615" s="22"/>
    </row>
    <row r="616">
      <c r="F616" s="22"/>
    </row>
    <row r="617">
      <c r="F617" s="22"/>
    </row>
    <row r="618">
      <c r="F618" s="22"/>
    </row>
    <row r="619">
      <c r="F619" s="22"/>
    </row>
    <row r="620">
      <c r="F620" s="22"/>
    </row>
    <row r="621">
      <c r="F621" s="22"/>
    </row>
    <row r="622">
      <c r="F622" s="22"/>
    </row>
    <row r="623">
      <c r="F623" s="22"/>
    </row>
    <row r="624">
      <c r="F624" s="22"/>
    </row>
    <row r="625">
      <c r="F625" s="22"/>
    </row>
    <row r="626">
      <c r="F626" s="22"/>
    </row>
    <row r="627">
      <c r="F627" s="22"/>
    </row>
    <row r="628">
      <c r="F628" s="22"/>
    </row>
    <row r="629">
      <c r="F629" s="22"/>
    </row>
    <row r="630">
      <c r="F630" s="22"/>
    </row>
    <row r="631">
      <c r="F631" s="22"/>
    </row>
    <row r="632">
      <c r="F632" s="22"/>
    </row>
    <row r="633">
      <c r="F633" s="22"/>
    </row>
    <row r="634">
      <c r="F634" s="22"/>
    </row>
    <row r="635">
      <c r="F635" s="22"/>
    </row>
    <row r="636">
      <c r="F636" s="22"/>
    </row>
    <row r="637">
      <c r="F637" s="22"/>
    </row>
    <row r="638">
      <c r="F638" s="22"/>
    </row>
    <row r="639">
      <c r="F639" s="22"/>
    </row>
    <row r="640">
      <c r="F640" s="22"/>
    </row>
    <row r="641">
      <c r="F641" s="22"/>
    </row>
    <row r="642">
      <c r="F642" s="22"/>
    </row>
    <row r="643">
      <c r="F643" s="22"/>
    </row>
    <row r="644">
      <c r="F644" s="22"/>
    </row>
    <row r="645">
      <c r="F645" s="22"/>
    </row>
    <row r="646">
      <c r="F646" s="22"/>
    </row>
    <row r="647">
      <c r="F647" s="22"/>
    </row>
    <row r="648">
      <c r="F648" s="22"/>
    </row>
    <row r="649">
      <c r="F649" s="22"/>
    </row>
    <row r="650">
      <c r="F650" s="22"/>
    </row>
    <row r="651">
      <c r="F651" s="22"/>
    </row>
    <row r="652">
      <c r="F652" s="22"/>
    </row>
    <row r="653">
      <c r="F653" s="22"/>
    </row>
    <row r="654">
      <c r="F654" s="22"/>
    </row>
    <row r="655">
      <c r="F655" s="22"/>
    </row>
    <row r="656">
      <c r="F656" s="22"/>
    </row>
    <row r="657">
      <c r="F657" s="22"/>
    </row>
    <row r="658">
      <c r="F658" s="22"/>
    </row>
    <row r="659">
      <c r="F659" s="22"/>
    </row>
    <row r="660">
      <c r="F660" s="22"/>
    </row>
    <row r="661">
      <c r="F661" s="22"/>
    </row>
    <row r="662">
      <c r="F662" s="22"/>
    </row>
    <row r="663">
      <c r="F663" s="22"/>
    </row>
    <row r="664">
      <c r="F664" s="22"/>
    </row>
    <row r="665">
      <c r="F665" s="22"/>
    </row>
    <row r="666">
      <c r="F666" s="22"/>
    </row>
    <row r="667">
      <c r="F667" s="22"/>
    </row>
    <row r="668">
      <c r="F668" s="22"/>
    </row>
    <row r="669">
      <c r="F669" s="22"/>
    </row>
    <row r="670">
      <c r="F670" s="22"/>
    </row>
    <row r="671">
      <c r="F671" s="22"/>
    </row>
    <row r="672">
      <c r="F672" s="22"/>
    </row>
    <row r="673">
      <c r="F673" s="22"/>
    </row>
    <row r="674">
      <c r="F674" s="22"/>
    </row>
    <row r="675">
      <c r="F675" s="22"/>
    </row>
    <row r="676">
      <c r="F676" s="22"/>
    </row>
    <row r="677">
      <c r="F677" s="22"/>
    </row>
    <row r="678">
      <c r="F678" s="22"/>
    </row>
    <row r="679">
      <c r="F679" s="22"/>
    </row>
    <row r="680">
      <c r="F680" s="22"/>
    </row>
    <row r="681">
      <c r="F681" s="22"/>
    </row>
    <row r="682">
      <c r="F682" s="22"/>
    </row>
    <row r="683">
      <c r="F683" s="22"/>
    </row>
    <row r="684">
      <c r="F684" s="22"/>
    </row>
    <row r="685">
      <c r="F685" s="22"/>
    </row>
    <row r="686">
      <c r="F686" s="22"/>
    </row>
    <row r="687">
      <c r="F687" s="22"/>
    </row>
    <row r="688">
      <c r="F688" s="22"/>
    </row>
    <row r="689">
      <c r="F689" s="22"/>
    </row>
    <row r="690">
      <c r="F690" s="22"/>
    </row>
    <row r="691">
      <c r="F691" s="22"/>
    </row>
    <row r="692">
      <c r="F692" s="22"/>
    </row>
    <row r="693">
      <c r="F693" s="22"/>
    </row>
    <row r="694">
      <c r="F694" s="22"/>
    </row>
    <row r="695">
      <c r="F695" s="22"/>
    </row>
    <row r="696">
      <c r="F696" s="22"/>
    </row>
    <row r="697">
      <c r="F697" s="22"/>
    </row>
    <row r="698">
      <c r="F698" s="22"/>
    </row>
    <row r="699">
      <c r="F699" s="22"/>
    </row>
    <row r="700">
      <c r="F700" s="22"/>
    </row>
    <row r="701">
      <c r="F701" s="22"/>
    </row>
    <row r="702">
      <c r="F702" s="22"/>
    </row>
    <row r="703">
      <c r="F703" s="22"/>
    </row>
    <row r="704">
      <c r="F704" s="22"/>
    </row>
    <row r="705">
      <c r="F705" s="22"/>
    </row>
    <row r="706">
      <c r="F706" s="22"/>
    </row>
    <row r="707">
      <c r="F707" s="22"/>
    </row>
    <row r="708">
      <c r="F708" s="22"/>
    </row>
    <row r="709">
      <c r="F709" s="22"/>
    </row>
    <row r="710">
      <c r="F710" s="22"/>
    </row>
    <row r="711">
      <c r="F711" s="22"/>
    </row>
    <row r="712">
      <c r="F712" s="22"/>
    </row>
    <row r="713">
      <c r="F713" s="22"/>
    </row>
    <row r="714">
      <c r="F714" s="22"/>
    </row>
    <row r="715">
      <c r="F715" s="22"/>
    </row>
    <row r="716">
      <c r="F716" s="22"/>
    </row>
    <row r="717">
      <c r="F717" s="22"/>
    </row>
    <row r="718">
      <c r="F718" s="22"/>
    </row>
    <row r="719">
      <c r="F719" s="22"/>
    </row>
    <row r="720">
      <c r="F720" s="22"/>
    </row>
    <row r="721">
      <c r="F721" s="22"/>
    </row>
    <row r="722">
      <c r="F722" s="22"/>
    </row>
    <row r="723">
      <c r="F723" s="22"/>
    </row>
    <row r="724">
      <c r="F724" s="22"/>
    </row>
    <row r="725">
      <c r="F725" s="22"/>
    </row>
    <row r="726">
      <c r="F726" s="22"/>
    </row>
    <row r="727">
      <c r="F727" s="22"/>
    </row>
    <row r="728">
      <c r="F728" s="22"/>
    </row>
    <row r="729">
      <c r="F729" s="22"/>
    </row>
    <row r="730">
      <c r="F730" s="22"/>
    </row>
    <row r="731">
      <c r="F731" s="22"/>
    </row>
    <row r="732">
      <c r="F732" s="22"/>
    </row>
    <row r="733">
      <c r="F733" s="22"/>
    </row>
    <row r="734">
      <c r="F734" s="22"/>
    </row>
    <row r="735">
      <c r="F735" s="22"/>
    </row>
    <row r="736">
      <c r="F736" s="22"/>
    </row>
    <row r="737">
      <c r="F737" s="22"/>
    </row>
    <row r="738">
      <c r="F738" s="22"/>
    </row>
    <row r="739">
      <c r="F739" s="22"/>
    </row>
    <row r="740">
      <c r="F740" s="22"/>
    </row>
    <row r="741">
      <c r="F741" s="22"/>
    </row>
    <row r="742">
      <c r="F742" s="22"/>
    </row>
    <row r="743">
      <c r="F743" s="22"/>
    </row>
    <row r="744">
      <c r="F744" s="22"/>
    </row>
    <row r="745">
      <c r="F745" s="22"/>
    </row>
    <row r="746">
      <c r="F746" s="22"/>
    </row>
    <row r="747">
      <c r="F747" s="22"/>
    </row>
    <row r="748">
      <c r="F748" s="22"/>
    </row>
    <row r="749">
      <c r="F749" s="22"/>
    </row>
    <row r="750">
      <c r="F750" s="22"/>
    </row>
    <row r="751">
      <c r="F751" s="22"/>
    </row>
    <row r="752">
      <c r="F752" s="22"/>
    </row>
    <row r="753">
      <c r="F753" s="22"/>
    </row>
    <row r="754">
      <c r="F754" s="22"/>
    </row>
    <row r="755">
      <c r="F755" s="22"/>
    </row>
    <row r="756">
      <c r="F756" s="22"/>
    </row>
    <row r="757">
      <c r="F757" s="22"/>
    </row>
    <row r="758">
      <c r="F758" s="22"/>
    </row>
    <row r="759">
      <c r="F759" s="22"/>
    </row>
    <row r="760">
      <c r="F760" s="22"/>
    </row>
    <row r="761">
      <c r="F761" s="22"/>
    </row>
    <row r="762">
      <c r="F762" s="22"/>
    </row>
    <row r="763">
      <c r="F763" s="22"/>
    </row>
    <row r="764">
      <c r="F764" s="22"/>
    </row>
    <row r="765">
      <c r="F765" s="22"/>
    </row>
    <row r="766">
      <c r="F766" s="22"/>
    </row>
    <row r="767">
      <c r="F767" s="22"/>
    </row>
    <row r="768">
      <c r="F768" s="22"/>
    </row>
    <row r="769">
      <c r="F769" s="22"/>
    </row>
    <row r="770">
      <c r="F770" s="22"/>
    </row>
    <row r="771">
      <c r="F771" s="22"/>
    </row>
    <row r="772">
      <c r="F772" s="22"/>
    </row>
    <row r="773">
      <c r="F773" s="22"/>
    </row>
    <row r="774">
      <c r="F774" s="22"/>
    </row>
    <row r="775">
      <c r="F775" s="22"/>
    </row>
    <row r="776">
      <c r="F776" s="22"/>
    </row>
    <row r="777">
      <c r="F777" s="22"/>
    </row>
    <row r="778">
      <c r="F778" s="22"/>
    </row>
    <row r="779">
      <c r="F779" s="22"/>
    </row>
    <row r="780">
      <c r="F780" s="22"/>
    </row>
    <row r="781">
      <c r="F781" s="22"/>
    </row>
    <row r="782">
      <c r="F782" s="22"/>
    </row>
    <row r="783">
      <c r="F783" s="22"/>
    </row>
    <row r="784">
      <c r="F784" s="22"/>
    </row>
    <row r="785">
      <c r="F785" s="22"/>
    </row>
    <row r="786">
      <c r="F786" s="22"/>
    </row>
    <row r="787">
      <c r="F787" s="22"/>
    </row>
    <row r="788">
      <c r="F788" s="22"/>
    </row>
    <row r="789">
      <c r="F789" s="22"/>
    </row>
    <row r="790">
      <c r="F790" s="22"/>
    </row>
    <row r="791">
      <c r="F791" s="22"/>
    </row>
    <row r="792">
      <c r="F792" s="22"/>
    </row>
    <row r="793">
      <c r="F793" s="22"/>
    </row>
    <row r="794">
      <c r="F794" s="22"/>
    </row>
    <row r="795">
      <c r="F795" s="22"/>
    </row>
    <row r="796">
      <c r="F796" s="22"/>
    </row>
    <row r="797">
      <c r="F797" s="22"/>
    </row>
    <row r="798">
      <c r="F798" s="22"/>
    </row>
    <row r="799">
      <c r="F799" s="22"/>
    </row>
    <row r="800">
      <c r="F800" s="22"/>
    </row>
    <row r="801">
      <c r="F801" s="22"/>
    </row>
    <row r="802">
      <c r="F802" s="22"/>
    </row>
    <row r="803">
      <c r="F803" s="22"/>
    </row>
    <row r="804">
      <c r="F804" s="22"/>
    </row>
    <row r="805">
      <c r="F805" s="22"/>
    </row>
    <row r="806">
      <c r="F806" s="22"/>
    </row>
    <row r="807">
      <c r="F807" s="22"/>
    </row>
    <row r="808">
      <c r="F808" s="22"/>
    </row>
    <row r="809">
      <c r="F809" s="22"/>
    </row>
    <row r="810">
      <c r="F810" s="22"/>
    </row>
    <row r="811">
      <c r="F811" s="22"/>
    </row>
    <row r="812">
      <c r="F812" s="22"/>
    </row>
    <row r="813">
      <c r="F813" s="22"/>
    </row>
    <row r="814">
      <c r="F814" s="22"/>
    </row>
    <row r="815">
      <c r="F815" s="22"/>
    </row>
    <row r="816">
      <c r="F816" s="22"/>
    </row>
    <row r="817">
      <c r="F817" s="22"/>
    </row>
    <row r="818">
      <c r="F818" s="22"/>
    </row>
    <row r="819">
      <c r="F819" s="22"/>
    </row>
    <row r="820">
      <c r="F820" s="22"/>
    </row>
    <row r="821">
      <c r="F821" s="22"/>
    </row>
    <row r="822">
      <c r="F822" s="22"/>
    </row>
    <row r="823">
      <c r="F823" s="22"/>
    </row>
    <row r="824">
      <c r="F824" s="22"/>
    </row>
    <row r="825">
      <c r="F825" s="22"/>
    </row>
    <row r="826">
      <c r="F826" s="22"/>
    </row>
    <row r="827">
      <c r="F827" s="22"/>
    </row>
    <row r="828">
      <c r="F828" s="22"/>
    </row>
    <row r="829">
      <c r="F829" s="22"/>
    </row>
    <row r="830">
      <c r="F830" s="22"/>
    </row>
    <row r="831">
      <c r="F831" s="22"/>
    </row>
    <row r="832">
      <c r="F832" s="22"/>
    </row>
    <row r="833">
      <c r="F833" s="22"/>
    </row>
    <row r="834">
      <c r="F834" s="22"/>
    </row>
    <row r="835">
      <c r="F835" s="22"/>
    </row>
    <row r="836">
      <c r="F836" s="22"/>
    </row>
    <row r="837">
      <c r="F837" s="22"/>
    </row>
    <row r="838">
      <c r="F838" s="22"/>
    </row>
    <row r="839">
      <c r="F839" s="22"/>
    </row>
    <row r="840">
      <c r="F840" s="22"/>
    </row>
    <row r="841">
      <c r="F841" s="22"/>
    </row>
    <row r="842">
      <c r="F842" s="22"/>
    </row>
    <row r="843">
      <c r="F843" s="22"/>
    </row>
    <row r="844">
      <c r="F844" s="22"/>
    </row>
    <row r="845">
      <c r="F845" s="22"/>
    </row>
    <row r="846">
      <c r="F846" s="22"/>
    </row>
    <row r="847">
      <c r="F847" s="22"/>
    </row>
    <row r="848">
      <c r="F848" s="22"/>
    </row>
    <row r="849">
      <c r="F849" s="22"/>
    </row>
    <row r="850">
      <c r="F850" s="22"/>
    </row>
    <row r="851">
      <c r="F851" s="22"/>
    </row>
    <row r="852">
      <c r="F852" s="22"/>
    </row>
    <row r="853">
      <c r="F853" s="22"/>
    </row>
    <row r="854">
      <c r="F854" s="22"/>
    </row>
    <row r="855">
      <c r="F855" s="22"/>
    </row>
    <row r="856">
      <c r="F856" s="22"/>
    </row>
    <row r="857">
      <c r="F857" s="22"/>
    </row>
    <row r="858">
      <c r="F858" s="22"/>
    </row>
    <row r="859">
      <c r="F859" s="22"/>
    </row>
    <row r="860">
      <c r="F860" s="22"/>
    </row>
    <row r="861">
      <c r="F861" s="22"/>
    </row>
    <row r="862">
      <c r="F862" s="22"/>
    </row>
    <row r="863">
      <c r="F863" s="22"/>
    </row>
    <row r="864">
      <c r="F864" s="22"/>
    </row>
    <row r="865">
      <c r="F865" s="22"/>
    </row>
    <row r="866">
      <c r="F866" s="22"/>
    </row>
    <row r="867">
      <c r="F867" s="22"/>
    </row>
    <row r="868">
      <c r="F868" s="22"/>
    </row>
    <row r="869">
      <c r="F869" s="22"/>
    </row>
    <row r="870">
      <c r="F870" s="22"/>
    </row>
    <row r="871">
      <c r="F871" s="22"/>
    </row>
    <row r="872">
      <c r="F872" s="22"/>
    </row>
    <row r="873">
      <c r="F873" s="22"/>
    </row>
    <row r="874">
      <c r="F874" s="22"/>
    </row>
    <row r="875">
      <c r="F875" s="22"/>
    </row>
    <row r="876">
      <c r="F876" s="22"/>
    </row>
    <row r="877">
      <c r="F877" s="22"/>
    </row>
    <row r="878">
      <c r="F878" s="22"/>
    </row>
    <row r="879">
      <c r="F879" s="22"/>
    </row>
    <row r="880">
      <c r="F880" s="22"/>
    </row>
    <row r="881">
      <c r="F881" s="22"/>
    </row>
    <row r="882">
      <c r="F882" s="22"/>
    </row>
    <row r="883">
      <c r="F883" s="22"/>
    </row>
    <row r="884">
      <c r="F884" s="22"/>
    </row>
    <row r="885">
      <c r="F885" s="22"/>
    </row>
    <row r="886">
      <c r="F886" s="22"/>
    </row>
    <row r="887">
      <c r="F887" s="22"/>
    </row>
    <row r="888">
      <c r="F888" s="22"/>
    </row>
    <row r="889">
      <c r="F889" s="22"/>
    </row>
    <row r="890">
      <c r="F890" s="22"/>
    </row>
    <row r="891">
      <c r="F891" s="22"/>
    </row>
    <row r="892">
      <c r="F892" s="22"/>
    </row>
    <row r="893">
      <c r="F893" s="22"/>
    </row>
    <row r="894">
      <c r="F894" s="22"/>
    </row>
    <row r="895">
      <c r="F895" s="22"/>
    </row>
    <row r="896">
      <c r="F896" s="22"/>
    </row>
    <row r="897">
      <c r="F897" s="22"/>
    </row>
    <row r="898">
      <c r="F898" s="22"/>
    </row>
    <row r="899">
      <c r="F899" s="22"/>
    </row>
    <row r="900">
      <c r="F900" s="22"/>
    </row>
    <row r="901">
      <c r="F901" s="22"/>
    </row>
    <row r="902">
      <c r="F902" s="22"/>
    </row>
    <row r="903">
      <c r="F903" s="22"/>
    </row>
    <row r="904">
      <c r="F904" s="22"/>
    </row>
    <row r="905">
      <c r="F905" s="22"/>
    </row>
    <row r="906">
      <c r="F906" s="22"/>
    </row>
    <row r="907">
      <c r="F907" s="22"/>
    </row>
    <row r="908">
      <c r="F908" s="22"/>
    </row>
    <row r="909">
      <c r="F909" s="22"/>
    </row>
    <row r="910">
      <c r="F910" s="22"/>
    </row>
    <row r="911">
      <c r="F911" s="22"/>
    </row>
    <row r="912">
      <c r="F912" s="22"/>
    </row>
    <row r="913">
      <c r="F913" s="22"/>
    </row>
    <row r="914">
      <c r="F914" s="22"/>
    </row>
    <row r="915">
      <c r="F915" s="22"/>
    </row>
    <row r="916">
      <c r="F916" s="22"/>
    </row>
    <row r="917">
      <c r="F917" s="22"/>
    </row>
    <row r="918">
      <c r="F918" s="22"/>
    </row>
    <row r="919">
      <c r="F919" s="22"/>
    </row>
    <row r="920">
      <c r="F920" s="22"/>
    </row>
    <row r="921">
      <c r="F921" s="22"/>
    </row>
    <row r="922">
      <c r="F922" s="22"/>
    </row>
    <row r="923">
      <c r="F923" s="22"/>
    </row>
    <row r="924">
      <c r="F924" s="22"/>
    </row>
    <row r="925">
      <c r="F925" s="22"/>
    </row>
    <row r="926">
      <c r="F926" s="22"/>
    </row>
    <row r="927">
      <c r="F927" s="22"/>
    </row>
    <row r="928">
      <c r="F928" s="22"/>
    </row>
    <row r="929">
      <c r="F929" s="22"/>
    </row>
    <row r="930">
      <c r="F930" s="22"/>
    </row>
    <row r="931">
      <c r="F931" s="22"/>
    </row>
    <row r="932">
      <c r="F932" s="22"/>
    </row>
    <row r="933">
      <c r="F933" s="22"/>
    </row>
    <row r="934">
      <c r="F934" s="22"/>
    </row>
    <row r="935">
      <c r="F935" s="22"/>
    </row>
    <row r="936">
      <c r="F936" s="22"/>
    </row>
    <row r="937">
      <c r="F937" s="22"/>
    </row>
    <row r="938">
      <c r="F938" s="22"/>
    </row>
    <row r="939">
      <c r="F939" s="22"/>
    </row>
    <row r="940">
      <c r="F940" s="22"/>
    </row>
    <row r="941">
      <c r="F941" s="22"/>
    </row>
    <row r="942">
      <c r="F942" s="22"/>
    </row>
    <row r="943">
      <c r="F943" s="22"/>
    </row>
    <row r="944">
      <c r="F944" s="22"/>
    </row>
    <row r="945">
      <c r="F945" s="22"/>
    </row>
    <row r="946">
      <c r="F946" s="22"/>
    </row>
    <row r="947">
      <c r="F947" s="22"/>
    </row>
    <row r="948">
      <c r="F948" s="22"/>
    </row>
    <row r="949">
      <c r="F949" s="22"/>
    </row>
    <row r="950">
      <c r="F950" s="22"/>
    </row>
    <row r="951">
      <c r="F951" s="22"/>
    </row>
    <row r="952">
      <c r="F952" s="22"/>
    </row>
    <row r="953">
      <c r="F953" s="22"/>
    </row>
    <row r="954">
      <c r="F954" s="22"/>
    </row>
    <row r="955">
      <c r="F955" s="22"/>
    </row>
    <row r="956">
      <c r="F956" s="22"/>
    </row>
    <row r="957">
      <c r="F957" s="22"/>
    </row>
    <row r="958">
      <c r="F958" s="22"/>
    </row>
    <row r="959">
      <c r="F959" s="22"/>
    </row>
    <row r="960">
      <c r="F960" s="22"/>
    </row>
    <row r="961">
      <c r="F961" s="22"/>
    </row>
    <row r="962">
      <c r="F962" s="22"/>
    </row>
    <row r="963">
      <c r="F963" s="22"/>
    </row>
    <row r="964">
      <c r="F964" s="22"/>
    </row>
    <row r="965">
      <c r="F965" s="22"/>
    </row>
    <row r="966">
      <c r="F966" s="22"/>
    </row>
    <row r="967">
      <c r="F967" s="22"/>
    </row>
    <row r="968">
      <c r="F968" s="22"/>
    </row>
    <row r="969">
      <c r="F969" s="22"/>
    </row>
    <row r="970">
      <c r="F970" s="22"/>
    </row>
    <row r="971">
      <c r="F971" s="22"/>
    </row>
    <row r="972">
      <c r="F972" s="22"/>
    </row>
    <row r="973">
      <c r="F973" s="22"/>
    </row>
    <row r="974">
      <c r="F974" s="22"/>
    </row>
    <row r="975">
      <c r="F975" s="22"/>
    </row>
    <row r="976">
      <c r="F976" s="22"/>
    </row>
    <row r="977">
      <c r="F977" s="22"/>
    </row>
    <row r="978">
      <c r="F978" s="22"/>
    </row>
    <row r="979">
      <c r="F979" s="22"/>
    </row>
    <row r="980">
      <c r="F980" s="22"/>
    </row>
    <row r="981">
      <c r="F981" s="22"/>
    </row>
    <row r="982">
      <c r="F982" s="22"/>
    </row>
    <row r="983">
      <c r="F983" s="22"/>
    </row>
    <row r="984">
      <c r="F984" s="22"/>
    </row>
    <row r="985">
      <c r="F985" s="22"/>
    </row>
    <row r="986">
      <c r="F986" s="22"/>
    </row>
    <row r="987">
      <c r="F987" s="22"/>
    </row>
    <row r="988">
      <c r="F988" s="22"/>
    </row>
    <row r="989">
      <c r="F989" s="22"/>
    </row>
    <row r="990">
      <c r="F990" s="22"/>
    </row>
    <row r="991">
      <c r="F991" s="22"/>
    </row>
    <row r="992">
      <c r="F992" s="22"/>
    </row>
    <row r="993">
      <c r="F993" s="22"/>
    </row>
    <row r="994">
      <c r="F994" s="22"/>
    </row>
    <row r="995">
      <c r="F995" s="22"/>
    </row>
    <row r="996">
      <c r="F996" s="22"/>
    </row>
    <row r="997">
      <c r="F997" s="22"/>
    </row>
    <row r="998">
      <c r="F998" s="22"/>
    </row>
    <row r="999">
      <c r="F999" s="22"/>
    </row>
    <row r="1000">
      <c r="F1000" s="22"/>
    </row>
    <row r="1001">
      <c r="F1001" s="22"/>
    </row>
    <row r="1002">
      <c r="F1002" s="22"/>
    </row>
    <row r="1003">
      <c r="F1003" s="22"/>
    </row>
  </sheetData>
  <autoFilter ref="$A$1:$A$1003"/>
  <conditionalFormatting sqref="C2:C72 D2:D98 E3 E8 E16 E34 E45 B65 C75:C94 E89 E92 E94">
    <cfRule type="containsText" dxfId="0" priority="1" operator="containsText" text="Si">
      <formula>NOT(ISERROR(SEARCH(("Si"),(C2))))</formula>
    </cfRule>
  </conditionalFormatting>
  <conditionalFormatting sqref="C2:C72 D2:D98 E3 E8 E16 E34 E45 B65 C75:C94 E89 E92 E94">
    <cfRule type="containsText" dxfId="1" priority="2" operator="containsText" text="PENDIENTE">
      <formula>NOT(ISERROR(SEARCH(("PENDIENTE"),(C2))))</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5"/>
    <col customWidth="1" min="4" max="5" width="11.63"/>
    <col customWidth="1" min="12" max="14" width="11.25"/>
    <col customWidth="1" min="15" max="16" width="11.5"/>
  </cols>
  <sheetData>
    <row r="1" ht="30.0" customHeight="1">
      <c r="A1" s="190" t="s">
        <v>617</v>
      </c>
      <c r="I1" s="190" t="s">
        <v>618</v>
      </c>
    </row>
    <row r="2" ht="30.0" customHeight="1">
      <c r="A2" s="191" t="s">
        <v>0</v>
      </c>
      <c r="B2" s="192" t="s">
        <v>619</v>
      </c>
      <c r="C2" s="192" t="s">
        <v>620</v>
      </c>
      <c r="D2" s="192"/>
      <c r="E2" s="192" t="s">
        <v>621</v>
      </c>
      <c r="F2" s="192" t="s">
        <v>621</v>
      </c>
      <c r="G2" s="192" t="s">
        <v>622</v>
      </c>
      <c r="I2" s="191" t="s">
        <v>0</v>
      </c>
      <c r="J2" s="192" t="s">
        <v>619</v>
      </c>
      <c r="K2" s="192" t="s">
        <v>623</v>
      </c>
      <c r="L2" s="192" t="s">
        <v>621</v>
      </c>
      <c r="M2" s="192" t="s">
        <v>624</v>
      </c>
      <c r="N2" s="192" t="s">
        <v>625</v>
      </c>
      <c r="O2" s="192" t="s">
        <v>626</v>
      </c>
      <c r="P2" s="192" t="s">
        <v>622</v>
      </c>
    </row>
    <row r="3">
      <c r="A3" s="193">
        <v>58.0</v>
      </c>
      <c r="B3" s="194">
        <v>10.0</v>
      </c>
      <c r="C3" s="194"/>
      <c r="D3" s="194"/>
      <c r="E3" s="194"/>
      <c r="F3" s="194"/>
      <c r="G3" s="194">
        <f t="shared" ref="G3:G11" si="1">SUM(B3+E3)</f>
        <v>10</v>
      </c>
      <c r="I3" s="193">
        <v>58.0</v>
      </c>
      <c r="J3" s="195">
        <v>7.0</v>
      </c>
      <c r="K3" s="195" t="s">
        <v>130</v>
      </c>
      <c r="L3" s="195">
        <v>1.0</v>
      </c>
      <c r="M3" s="195">
        <v>1.0</v>
      </c>
      <c r="N3" s="195">
        <v>2.0</v>
      </c>
      <c r="O3" s="195">
        <v>2.0</v>
      </c>
      <c r="P3" s="194"/>
    </row>
    <row r="4">
      <c r="A4" s="193">
        <v>94.0</v>
      </c>
      <c r="B4" s="195">
        <v>5.0</v>
      </c>
      <c r="C4" s="195"/>
      <c r="D4" s="195"/>
      <c r="E4" s="195">
        <v>1.0</v>
      </c>
      <c r="F4" s="194"/>
      <c r="G4" s="194">
        <f t="shared" si="1"/>
        <v>6</v>
      </c>
      <c r="I4" s="193">
        <v>98.0</v>
      </c>
      <c r="J4" s="195">
        <v>4.0</v>
      </c>
      <c r="K4" s="195">
        <v>8.0</v>
      </c>
      <c r="L4" s="195">
        <v>1.0</v>
      </c>
      <c r="M4" s="195">
        <v>1.0</v>
      </c>
      <c r="N4" s="195">
        <v>1.0</v>
      </c>
      <c r="O4" s="195">
        <v>1.0</v>
      </c>
      <c r="P4" s="194"/>
    </row>
    <row r="5">
      <c r="A5" s="193">
        <v>98.0</v>
      </c>
      <c r="B5" s="194">
        <v>13.0</v>
      </c>
      <c r="C5" s="194"/>
      <c r="D5" s="194"/>
      <c r="E5" s="194"/>
      <c r="F5" s="194"/>
      <c r="G5" s="194">
        <f t="shared" si="1"/>
        <v>13</v>
      </c>
      <c r="I5" s="196">
        <v>95.0</v>
      </c>
      <c r="J5" s="195">
        <v>12.0</v>
      </c>
      <c r="K5" s="195" t="s">
        <v>130</v>
      </c>
      <c r="L5" s="24">
        <v>0.0</v>
      </c>
      <c r="M5" s="195">
        <v>0.0</v>
      </c>
      <c r="N5" s="195">
        <v>0.0</v>
      </c>
      <c r="O5" s="195">
        <v>0.0</v>
      </c>
      <c r="P5" s="194"/>
    </row>
    <row r="6">
      <c r="A6" s="193">
        <v>99.0</v>
      </c>
      <c r="B6" s="194">
        <v>5.0</v>
      </c>
      <c r="C6" s="195"/>
      <c r="D6" s="195"/>
      <c r="E6" s="195">
        <v>1.0</v>
      </c>
      <c r="F6" s="194"/>
      <c r="G6" s="194">
        <f t="shared" si="1"/>
        <v>6</v>
      </c>
      <c r="I6" s="196">
        <v>45.0</v>
      </c>
      <c r="J6" s="195">
        <v>17.0</v>
      </c>
      <c r="K6" s="195">
        <v>28.0</v>
      </c>
      <c r="L6" s="195">
        <v>3.0</v>
      </c>
      <c r="M6" s="195">
        <v>3.0</v>
      </c>
      <c r="N6" s="195">
        <v>3.0</v>
      </c>
      <c r="O6" s="195">
        <v>2.0</v>
      </c>
      <c r="P6" s="194">
        <f t="shared" ref="P6:P11" si="2">SUM(J6+L6)</f>
        <v>20</v>
      </c>
    </row>
    <row r="7">
      <c r="A7" s="193">
        <v>120.0</v>
      </c>
      <c r="B7" s="194">
        <v>13.0</v>
      </c>
      <c r="C7" s="194"/>
      <c r="D7" s="194"/>
      <c r="E7" s="194"/>
      <c r="F7" s="194"/>
      <c r="G7" s="194">
        <f t="shared" si="1"/>
        <v>13</v>
      </c>
      <c r="I7" s="193"/>
      <c r="J7" s="194"/>
      <c r="K7" s="194"/>
      <c r="L7" s="194"/>
      <c r="M7" s="194"/>
      <c r="N7" s="194"/>
      <c r="O7" s="194"/>
      <c r="P7" s="194">
        <f t="shared" si="2"/>
        <v>0</v>
      </c>
    </row>
    <row r="8">
      <c r="A8" s="193">
        <v>121.0</v>
      </c>
      <c r="B8" s="195">
        <v>7.0</v>
      </c>
      <c r="C8" s="194"/>
      <c r="D8" s="194"/>
      <c r="E8" s="194"/>
      <c r="F8" s="194"/>
      <c r="G8" s="194">
        <f t="shared" si="1"/>
        <v>7</v>
      </c>
      <c r="I8" s="193"/>
      <c r="J8" s="194"/>
      <c r="K8" s="194"/>
      <c r="L8" s="194"/>
      <c r="M8" s="194"/>
      <c r="N8" s="194"/>
      <c r="O8" s="194"/>
      <c r="P8" s="194">
        <f t="shared" si="2"/>
        <v>0</v>
      </c>
    </row>
    <row r="9">
      <c r="A9" s="193">
        <v>608.0</v>
      </c>
      <c r="B9" s="195">
        <v>2.0</v>
      </c>
      <c r="C9" s="194"/>
      <c r="D9" s="194"/>
      <c r="E9" s="194"/>
      <c r="F9" s="194"/>
      <c r="G9" s="194">
        <f t="shared" si="1"/>
        <v>2</v>
      </c>
      <c r="I9" s="193"/>
      <c r="J9" s="194"/>
      <c r="K9" s="194"/>
      <c r="L9" s="194"/>
      <c r="M9" s="194"/>
      <c r="N9" s="194"/>
      <c r="O9" s="194"/>
      <c r="P9" s="194">
        <f t="shared" si="2"/>
        <v>0</v>
      </c>
    </row>
    <row r="10">
      <c r="A10" s="193">
        <v>618.0</v>
      </c>
      <c r="B10" s="194">
        <v>7.0</v>
      </c>
      <c r="C10" s="194"/>
      <c r="D10" s="194"/>
      <c r="E10" s="194"/>
      <c r="F10" s="194"/>
      <c r="G10" s="194">
        <f t="shared" si="1"/>
        <v>7</v>
      </c>
      <c r="I10" s="193"/>
      <c r="J10" s="194"/>
      <c r="K10" s="194"/>
      <c r="L10" s="194"/>
      <c r="M10" s="194"/>
      <c r="N10" s="194"/>
      <c r="O10" s="194"/>
      <c r="P10" s="194">
        <f t="shared" si="2"/>
        <v>0</v>
      </c>
    </row>
    <row r="11">
      <c r="A11" s="193">
        <v>657.0</v>
      </c>
      <c r="B11" s="194">
        <v>2.0</v>
      </c>
      <c r="C11" s="194"/>
      <c r="D11" s="194"/>
      <c r="E11" s="194"/>
      <c r="F11" s="194"/>
      <c r="G11" s="194">
        <f t="shared" si="1"/>
        <v>2</v>
      </c>
      <c r="I11" s="193"/>
      <c r="J11" s="194"/>
      <c r="K11" s="194"/>
      <c r="L11" s="194"/>
      <c r="M11" s="194"/>
      <c r="N11" s="194"/>
      <c r="O11" s="194"/>
      <c r="P11" s="194">
        <f t="shared" si="2"/>
        <v>0</v>
      </c>
    </row>
    <row r="12">
      <c r="A12" s="197" t="s">
        <v>417</v>
      </c>
      <c r="B12" s="197">
        <v>65.0</v>
      </c>
      <c r="C12" s="197"/>
      <c r="D12" s="197"/>
      <c r="E12" s="197">
        <v>1.0</v>
      </c>
      <c r="F12" s="197"/>
      <c r="G12" s="197">
        <v>66.0</v>
      </c>
      <c r="I12" s="197" t="s">
        <v>417</v>
      </c>
      <c r="J12" s="197">
        <f>SUM(J3:J6)</f>
        <v>40</v>
      </c>
      <c r="K12" s="197"/>
      <c r="L12" s="197"/>
      <c r="M12" s="197"/>
      <c r="N12" s="197"/>
      <c r="O12" s="197"/>
      <c r="P12" s="197">
        <v>66.0</v>
      </c>
    </row>
    <row r="14">
      <c r="A14" s="190" t="s">
        <v>617</v>
      </c>
    </row>
    <row r="15">
      <c r="A15" s="191" t="s">
        <v>0</v>
      </c>
      <c r="B15" s="192" t="s">
        <v>619</v>
      </c>
      <c r="C15" s="192" t="s">
        <v>620</v>
      </c>
      <c r="D15" s="192" t="s">
        <v>627</v>
      </c>
      <c r="E15" s="192" t="s">
        <v>621</v>
      </c>
      <c r="F15" s="192" t="s">
        <v>624</v>
      </c>
      <c r="G15" s="192" t="s">
        <v>622</v>
      </c>
    </row>
    <row r="16">
      <c r="A16" s="193">
        <v>94.0</v>
      </c>
      <c r="B16" s="195">
        <v>5.0</v>
      </c>
      <c r="C16" s="195">
        <v>6.0</v>
      </c>
      <c r="D16" s="195">
        <f t="shared" ref="D16:D18" si="3">C16-B16</f>
        <v>1</v>
      </c>
      <c r="E16" s="195"/>
      <c r="F16" s="195">
        <v>1.0</v>
      </c>
      <c r="G16" s="194">
        <f t="shared" ref="G16:G18" si="4">SUM(B16+E16)</f>
        <v>5</v>
      </c>
    </row>
    <row r="17">
      <c r="A17" s="193">
        <v>99.0</v>
      </c>
      <c r="B17" s="194">
        <v>5.0</v>
      </c>
      <c r="C17" s="195">
        <v>12.0</v>
      </c>
      <c r="D17" s="195">
        <f t="shared" si="3"/>
        <v>7</v>
      </c>
      <c r="E17" s="195">
        <v>2.0</v>
      </c>
      <c r="F17" s="195">
        <v>2.0</v>
      </c>
      <c r="G17" s="194">
        <f t="shared" si="4"/>
        <v>7</v>
      </c>
    </row>
    <row r="18">
      <c r="A18" s="193">
        <v>618.0</v>
      </c>
      <c r="B18" s="194">
        <v>7.0</v>
      </c>
      <c r="C18" s="195">
        <v>9.0</v>
      </c>
      <c r="D18" s="195">
        <f t="shared" si="3"/>
        <v>2</v>
      </c>
      <c r="E18" s="195"/>
      <c r="F18" s="195">
        <v>1.0</v>
      </c>
      <c r="G18" s="194">
        <f t="shared" si="4"/>
        <v>7</v>
      </c>
    </row>
    <row r="19">
      <c r="A19" s="197" t="s">
        <v>417</v>
      </c>
      <c r="B19" s="197">
        <f t="shared" ref="B19:G19" si="5">SUM(B16:B18)</f>
        <v>17</v>
      </c>
      <c r="C19" s="197">
        <f t="shared" si="5"/>
        <v>27</v>
      </c>
      <c r="D19" s="197">
        <f t="shared" si="5"/>
        <v>10</v>
      </c>
      <c r="E19" s="197">
        <f t="shared" si="5"/>
        <v>2</v>
      </c>
      <c r="F19" s="197">
        <f t="shared" si="5"/>
        <v>4</v>
      </c>
      <c r="G19" s="197">
        <f t="shared" si="5"/>
        <v>19</v>
      </c>
    </row>
    <row r="20">
      <c r="D20" s="24"/>
      <c r="E20" s="24"/>
      <c r="F20" s="24"/>
    </row>
  </sheetData>
  <mergeCells count="3">
    <mergeCell ref="A1:G1"/>
    <mergeCell ref="I1:P1"/>
    <mergeCell ref="A14:G14"/>
  </mergeCells>
  <drawing r:id="rId1"/>
</worksheet>
</file>